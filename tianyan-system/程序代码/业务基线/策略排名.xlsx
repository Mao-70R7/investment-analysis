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6" lowestEdited="4" rupBuild="14420"/>
  <workbookPr defaultThemeVersion="124226"/>
  <bookViews>
    <workbookView xWindow="240" yWindow="15" windowWidth="16095" windowHeight="9660" activeTab="0"/>
  </bookViews>
  <sheets>
    <sheet name="投顾组合排名" sheetId="1" r:id="rId1"/>
    <sheet name="分类汇总" sheetId="2" r:id="rId2"/>
    <sheet name="计算说明" sheetId="3" r:id="rId3"/>
  </sheets>
  <calcPr calcId="152511"/>
</workbook>
</file>

<file path=xl/sharedStrings.xml><?xml version="1.0" encoding="utf-8"?>
<sst xmlns="http://schemas.openxmlformats.org/spreadsheetml/2006/main" uniqueCount="430" count="430">
  <si>
    <t>代码</t>
  </si>
  <si>
    <t>策略名称</t>
  </si>
  <si>
    <t>策略基准</t>
  </si>
  <si>
    <t>累计收益(%)</t>
  </si>
  <si>
    <t>基准累计收益(%)</t>
  </si>
  <si>
    <t>年化收益(%)</t>
  </si>
  <si>
    <t>权益占比(%)</t>
  </si>
  <si>
    <t>固收占比(%)</t>
  </si>
  <si>
    <t>货币占比(%)</t>
  </si>
  <si>
    <t>另类占比(%)</t>
  </si>
  <si>
    <t>基金分类</t>
  </si>
  <si>
    <t>同类基金总数</t>
  </si>
  <si>
    <t>排名</t>
  </si>
  <si>
    <t>GFHM000764</t>
  </si>
  <si>
    <t>GFHX000822</t>
  </si>
  <si>
    <t>GFHX000827</t>
  </si>
  <si>
    <t>GFHX000829</t>
  </si>
  <si>
    <t>GFHX002242</t>
  </si>
  <si>
    <t>GFJD000498</t>
  </si>
  <si>
    <t>GFJD000499</t>
  </si>
  <si>
    <t>GFJD000519</t>
  </si>
  <si>
    <t>GFJD000521</t>
  </si>
  <si>
    <t>GFJD001283</t>
  </si>
  <si>
    <t>GFJD001406</t>
  </si>
  <si>
    <t>GFJD001410</t>
  </si>
  <si>
    <t>GFJD001420</t>
  </si>
  <si>
    <t>GFJD001442</t>
  </si>
  <si>
    <t>GFJD001461</t>
  </si>
  <si>
    <t>GFJD001486</t>
  </si>
  <si>
    <t>GFJD001504</t>
  </si>
  <si>
    <t>GFJD001542</t>
  </si>
  <si>
    <t>GFJD001578</t>
  </si>
  <si>
    <t>GFJJ000001</t>
  </si>
  <si>
    <t>GFJJ000002</t>
  </si>
  <si>
    <t>GFJJ000003</t>
  </si>
  <si>
    <t>GFJJ000004</t>
  </si>
  <si>
    <t>GFJJ000005</t>
  </si>
  <si>
    <t>GFJJ000006</t>
  </si>
  <si>
    <t>GFJJ000007</t>
  </si>
  <si>
    <t>GFJJ000008</t>
  </si>
  <si>
    <t>GFJJ000011</t>
  </si>
  <si>
    <t>GFJJ000219</t>
  </si>
  <si>
    <t>GFJJ000578</t>
  </si>
  <si>
    <t>GFJJ000579</t>
  </si>
  <si>
    <t>GFJJ000598</t>
  </si>
  <si>
    <t>GFJJ000600</t>
  </si>
  <si>
    <t>GFJJ000601</t>
  </si>
  <si>
    <t>GFJJ000602</t>
  </si>
  <si>
    <t>GFJJ000603</t>
  </si>
  <si>
    <t>GFJJ000763</t>
  </si>
  <si>
    <t>GFJJ000900</t>
  </si>
  <si>
    <t>GFJJ001204</t>
  </si>
  <si>
    <t>GFJJ001221</t>
  </si>
  <si>
    <t>GFJJ001222</t>
  </si>
  <si>
    <t>GFJJ001236</t>
  </si>
  <si>
    <t>GFJJ001261</t>
  </si>
  <si>
    <t>GFJJ001262</t>
  </si>
  <si>
    <t>GFJJ001326</t>
  </si>
  <si>
    <t>GFJJ001384</t>
  </si>
  <si>
    <t>GFJJ001387</t>
  </si>
  <si>
    <t>GFJJ001394</t>
  </si>
  <si>
    <t>GFJJ001400</t>
  </si>
  <si>
    <t>GFJJ001411</t>
  </si>
  <si>
    <t>GFJJ001421</t>
  </si>
  <si>
    <t>GFJJ001422</t>
  </si>
  <si>
    <t>GFJJ001482</t>
  </si>
  <si>
    <t>GFJJ001501</t>
  </si>
  <si>
    <t>GFJJ001502</t>
  </si>
  <si>
    <t>GFJJ001503</t>
  </si>
  <si>
    <t>GFJJ001507</t>
  </si>
  <si>
    <t>GFJJ001510</t>
  </si>
  <si>
    <t>GFJJ001564</t>
  </si>
  <si>
    <t>GFJJ001569</t>
  </si>
  <si>
    <t>GFJJ001577</t>
  </si>
  <si>
    <t>GFJJ001581</t>
  </si>
  <si>
    <t>GFJJ001662</t>
  </si>
  <si>
    <t>GFJJ001663</t>
  </si>
  <si>
    <t>GFJJ001664</t>
  </si>
  <si>
    <t>GFJJ001665</t>
  </si>
  <si>
    <t>GFJJ001681</t>
  </si>
  <si>
    <t>GFJJ002101</t>
  </si>
  <si>
    <t>GFJJ002102</t>
  </si>
  <si>
    <t>GFJJ002103</t>
  </si>
  <si>
    <t>GFJJ002221</t>
  </si>
  <si>
    <t>GFJJ002222</t>
  </si>
  <si>
    <t>GFJJ002301</t>
  </si>
  <si>
    <t>GFJJ002302</t>
  </si>
  <si>
    <t>GFJJ002414</t>
  </si>
  <si>
    <t>GFJJ002941</t>
  </si>
  <si>
    <t>GFJJ002942</t>
  </si>
  <si>
    <t>GFJJ002982</t>
  </si>
  <si>
    <t>GFJY002361</t>
  </si>
  <si>
    <t>GFJY002362</t>
  </si>
  <si>
    <t>GFJY002364</t>
  </si>
  <si>
    <t>GFJY002365</t>
  </si>
  <si>
    <t>GFJY002366</t>
  </si>
  <si>
    <t>GFJY002367</t>
  </si>
  <si>
    <t>GFJY002481</t>
  </si>
  <si>
    <t>GFLU001565</t>
  </si>
  <si>
    <t>GFLU001901</t>
  </si>
  <si>
    <t>GFLU002604</t>
  </si>
  <si>
    <t>GFMY000079</t>
  </si>
  <si>
    <t>GFMY000198</t>
  </si>
  <si>
    <t>GFMY000561</t>
  </si>
  <si>
    <t>GFMY000562</t>
  </si>
  <si>
    <t>GFMY000568</t>
  </si>
  <si>
    <t>GFMY000658</t>
  </si>
  <si>
    <t>GFMY000659</t>
  </si>
  <si>
    <t>GFMY000660</t>
  </si>
  <si>
    <t>GFMY000661</t>
  </si>
  <si>
    <t>GFMY000662</t>
  </si>
  <si>
    <t>GFMY000663</t>
  </si>
  <si>
    <t>GFMY000664</t>
  </si>
  <si>
    <t>GFMY001048</t>
  </si>
  <si>
    <t>GFTT000002</t>
  </si>
  <si>
    <t>GFTT000003</t>
  </si>
  <si>
    <t>GFTT000004</t>
  </si>
  <si>
    <t>GFTT000158</t>
  </si>
  <si>
    <t>GFTT000159</t>
  </si>
  <si>
    <t>GFTT000502</t>
  </si>
  <si>
    <t>GFTT000503</t>
  </si>
  <si>
    <t>GFTT000525</t>
  </si>
  <si>
    <t>GFTT000638</t>
  </si>
  <si>
    <t>GFTT000678</t>
  </si>
  <si>
    <t>GFTT001224</t>
  </si>
  <si>
    <t>GFTT001226</t>
  </si>
  <si>
    <t>GFTT001237</t>
  </si>
  <si>
    <t>GFTT001398</t>
  </si>
  <si>
    <t>GFTT001444</t>
  </si>
  <si>
    <t>GFTT001587</t>
  </si>
  <si>
    <t>GFTT001667</t>
  </si>
  <si>
    <t>GFTT001668</t>
  </si>
  <si>
    <t>GFTT001669</t>
  </si>
  <si>
    <t>GFTT001792</t>
  </si>
  <si>
    <t>GFTT002441</t>
  </si>
  <si>
    <t>GFTX000438</t>
  </si>
  <si>
    <t>GFTX000458</t>
  </si>
  <si>
    <t>GFWD002181</t>
  </si>
  <si>
    <t>GFXQ001085</t>
  </si>
  <si>
    <t>GFXQ001086</t>
  </si>
  <si>
    <t>GFXQ001401</t>
  </si>
  <si>
    <t>GFXQ001443</t>
  </si>
  <si>
    <t>GFXQ001506</t>
  </si>
  <si>
    <t>GFYH000701</t>
  </si>
  <si>
    <t>GFYH000702</t>
  </si>
  <si>
    <t>GFYH000719</t>
  </si>
  <si>
    <t>GFYH000738</t>
  </si>
  <si>
    <t>GFYH000798</t>
  </si>
  <si>
    <t>GFYH001301</t>
  </si>
  <si>
    <t>GFYH001327</t>
  </si>
  <si>
    <t>GFYH001562</t>
  </si>
  <si>
    <t>GFYH002382</t>
  </si>
  <si>
    <t>GFYM000179</t>
  </si>
  <si>
    <t>GFYM000184</t>
  </si>
  <si>
    <t>GFYM000187</t>
  </si>
  <si>
    <t>GFYM000859</t>
  </si>
  <si>
    <t>GFZQ000002</t>
  </si>
  <si>
    <t>GFZQ000003</t>
  </si>
  <si>
    <t>GFZQ000005</t>
  </si>
  <si>
    <t>GFZQ000478</t>
  </si>
  <si>
    <t>GFZQ000833</t>
  </si>
  <si>
    <t>GFZQ001068</t>
  </si>
  <si>
    <t>GFZQ002541</t>
  </si>
  <si>
    <t>GFZS000918</t>
  </si>
  <si>
    <t>超级理财加</t>
  </si>
  <si>
    <t>广发鸿福进取</t>
  </si>
  <si>
    <t>广发福盈</t>
  </si>
  <si>
    <t>广发福享</t>
  </si>
  <si>
    <t>超级定投家</t>
  </si>
  <si>
    <t>奔跑吧牛基</t>
  </si>
  <si>
    <t>稳健向前跑</t>
  </si>
  <si>
    <t>添利30天</t>
  </si>
  <si>
    <t>广发短债甄选</t>
  </si>
  <si>
    <t>全球多元稳健</t>
  </si>
  <si>
    <t>久盈纯债</t>
  </si>
  <si>
    <t>全球平衡精选</t>
  </si>
  <si>
    <t>全球权益精选</t>
  </si>
  <si>
    <t>广发全球多元稳健配置</t>
  </si>
  <si>
    <t>短债步步通</t>
  </si>
  <si>
    <t>宏观策略先锋</t>
  </si>
  <si>
    <t>全球多元固收精选</t>
  </si>
  <si>
    <t>广发货币加</t>
  </si>
  <si>
    <t>理财小加</t>
  </si>
  <si>
    <t>小小的太阳</t>
  </si>
  <si>
    <t>一起幸福增长</t>
  </si>
  <si>
    <t>股债平衡大师</t>
  </si>
  <si>
    <t>亲子理财加</t>
  </si>
  <si>
    <t>奔跑吧少年</t>
  </si>
  <si>
    <t>智慧教育金2025</t>
  </si>
  <si>
    <t>智慧教育金2030</t>
  </si>
  <si>
    <t>智慧教育金2035</t>
  </si>
  <si>
    <t>智慧教育金2040</t>
  </si>
  <si>
    <t>智慧教育金2045</t>
  </si>
  <si>
    <t>广发货币优选</t>
  </si>
  <si>
    <t>幸福小列车目标盈</t>
  </si>
  <si>
    <t>广发价值30甄选</t>
  </si>
  <si>
    <t>指数100份</t>
  </si>
  <si>
    <t>全球多元进取</t>
  </si>
  <si>
    <t>广发全球30甄选</t>
  </si>
  <si>
    <t>全天候稳健组合</t>
  </si>
  <si>
    <t>广发纯债甄选</t>
  </si>
  <si>
    <t>广发全球商品甄选</t>
  </si>
  <si>
    <t>广发中国30甄选</t>
  </si>
  <si>
    <t>广发全球甄选尊享1号</t>
  </si>
  <si>
    <t>优选香港组合</t>
  </si>
  <si>
    <t>广发小盘先锋</t>
  </si>
  <si>
    <t>红利甄选组合</t>
  </si>
  <si>
    <t>广发全球债券30甄选组合</t>
  </si>
  <si>
    <t>南海定制1号</t>
  </si>
  <si>
    <t>全球多元稳健增长</t>
  </si>
  <si>
    <t>智选理财Plus</t>
  </si>
  <si>
    <t>广发甄选尊享组合</t>
  </si>
  <si>
    <t>幸福小心愿目标盈</t>
  </si>
  <si>
    <t>广发货币优选（机构版）</t>
  </si>
  <si>
    <t>广发尊享稳健甄选</t>
  </si>
  <si>
    <t>广发尊享稳健甄选（机构版）</t>
  </si>
  <si>
    <t>广发指数宝</t>
  </si>
  <si>
    <t>广发债券宝</t>
  </si>
  <si>
    <t>全天候理财组合</t>
  </si>
  <si>
    <t>全天候增长组合</t>
  </si>
  <si>
    <t>广发全天候多元稳健增长</t>
  </si>
  <si>
    <t>广发全天候多元稳健</t>
  </si>
  <si>
    <t>广发全天候多元配置定制策略</t>
  </si>
  <si>
    <t>幸福小心愿Pro目标盈</t>
  </si>
  <si>
    <t>全天候稳进组合</t>
  </si>
  <si>
    <t>全天候平衡组合</t>
  </si>
  <si>
    <t>南海定制2号</t>
  </si>
  <si>
    <t>辉享全天候稳健增长</t>
  </si>
  <si>
    <t>广发全天候进取定制策略</t>
  </si>
  <si>
    <t>全球多元平衡</t>
  </si>
  <si>
    <t>全球多元平衡尊享</t>
  </si>
  <si>
    <t>广发月月尊享定制策略</t>
  </si>
  <si>
    <t>广发稳健尊享定制策略</t>
  </si>
  <si>
    <t>广发多元理财尊享定制策略</t>
  </si>
  <si>
    <t>全球多元低波固收+</t>
  </si>
  <si>
    <t>全球多元中波固收+</t>
  </si>
  <si>
    <t>全球多元高波固收+</t>
  </si>
  <si>
    <t>全天候量化低波固收+</t>
  </si>
  <si>
    <t>全天候量化中波固收+</t>
  </si>
  <si>
    <t>广发全球多元稳健增长（机构版）</t>
  </si>
  <si>
    <t>广发全球多元配置1号</t>
  </si>
  <si>
    <t>月月享+30天</t>
  </si>
  <si>
    <t>指数带你投-指数 100 份</t>
  </si>
  <si>
    <t>广发超级精选</t>
  </si>
  <si>
    <t>广发幸福增长专享策略</t>
  </si>
  <si>
    <t>广发理财升级专享策略</t>
  </si>
  <si>
    <t>广发股债均衡专享策略</t>
  </si>
  <si>
    <t>货币加</t>
  </si>
  <si>
    <t>广发超级定投家</t>
  </si>
  <si>
    <t>带你投消费</t>
  </si>
  <si>
    <t>带你投科技</t>
  </si>
  <si>
    <t>带你投新生代</t>
  </si>
  <si>
    <t>带你投长跑老将</t>
  </si>
  <si>
    <t>带你投稳中求进</t>
  </si>
  <si>
    <t>幸福小列车组合</t>
  </si>
  <si>
    <t>稳健指数宝</t>
  </si>
  <si>
    <t>多资产稳健指数组合</t>
  </si>
  <si>
    <t>多元稳健配置策略</t>
  </si>
  <si>
    <t>广发多元平衡目标盈</t>
  </si>
  <si>
    <t>暖暖宝</t>
  </si>
  <si>
    <t>广发优配活期佳7天</t>
  </si>
  <si>
    <t>广发优配活期佳30天</t>
  </si>
  <si>
    <t>广发爱理财60天</t>
  </si>
  <si>
    <t>广发优配稳健</t>
  </si>
  <si>
    <t>广发优选爱理财90天</t>
  </si>
  <si>
    <t>广发基金超级定投</t>
  </si>
  <si>
    <t>广发幸福增长</t>
  </si>
  <si>
    <t>幸福小列车目标盈组合</t>
  </si>
  <si>
    <t>广发智选多元理财</t>
  </si>
  <si>
    <t>广发活钱宝</t>
  </si>
  <si>
    <t>幸福盈家小目标</t>
  </si>
  <si>
    <t>广添鑫</t>
  </si>
  <si>
    <t>8%沪深300指数+92%中债综合全价（总值）指数</t>
  </si>
  <si>
    <t>95%沪深300指数+5%中债综合全价（总值）指数</t>
  </si>
  <si>
    <t>5%沪深300指数+95%中债综合全价（总值）指数</t>
  </si>
  <si>
    <t>100%中证货币型基金指数</t>
  </si>
  <si>
    <t>90%沪深300指数+10%中债综合全价（总值）指数</t>
  </si>
  <si>
    <t>20%沪深300指数+80%中债综合全价（总值）指数</t>
  </si>
  <si>
    <t>100%中债综合全价（总值）指数</t>
  </si>
  <si>
    <t>8.5%沪深300指数+80%中债综合全价（总值）指数+3%SGE黄金9999+8.5%人民币计价的MSCI全球指数</t>
  </si>
  <si>
    <t>20%沪深300指数+15%人民币计价的MSCI全球指数+10%SGE黄金9999+43%中债综合全价（总值）指数+12%彭博巴克莱全球综合指数</t>
  </si>
  <si>
    <t>95%人民币计价的MSCI全球指数+5%中债综合全价（总值）指数</t>
  </si>
  <si>
    <t>7%中证800+76%中债综合全价（总值）指数+10%SGE黄金9999+7%人民币计价的MSCI全球指数</t>
  </si>
  <si>
    <t>5%中债综合全价（总值）指数+95%中证800</t>
  </si>
  <si>
    <t>8.5%沪深300指数+8.5%人民币计价的MSCI全球指数+3%SGE黄金9999+80%中债综合全价（总值）指数</t>
  </si>
  <si>
    <t>10%沪深300指数+90%中债综合全价（总值）指数</t>
  </si>
  <si>
    <t>30%沪深300指数+70%中债综合全价（总值）指数</t>
  </si>
  <si>
    <t>50%沪深300指数+50%中债综合全价（总值）指数</t>
  </si>
  <si>
    <t>7%沪深300指数+93%中债综合全价（总值）指数</t>
  </si>
  <si>
    <t>15.00%沪深300+85.00%中债-综合全价(总值)指数</t>
  </si>
  <si>
    <t>25.00%沪深300+75.00%中债-综合全价(总值)指数</t>
  </si>
  <si>
    <t>37.50%沪深300+62.50%中债-综合全价(总值)指数</t>
  </si>
  <si>
    <t>49.50%沪深300+50.50%中债-综合全价(总值)指数</t>
  </si>
  <si>
    <t>59.00%沪深300+41.00%中债-综合全价(总值)指数</t>
  </si>
  <si>
    <t>40%沪深300指数+15%中债综合全价（总值）指数+5%SGE黄金9999+40%人民币计价的MSCI全球指数</t>
  </si>
  <si>
    <t>5%中债综合全价（总值）指数+95%人民币计价的MSCI全球指数</t>
  </si>
  <si>
    <t>4%沪深300指数+4%人民币计价的MSCI全球指数+7%SGE黄金9999+85%中债综合全价（总值）指数</t>
  </si>
  <si>
    <t>90%SGE黄金9999+10%中证货币型基金指数</t>
  </si>
  <si>
    <t>95%恒生指数+5%中债综合全价（总值）指数</t>
  </si>
  <si>
    <t>95%中证500+5%中证货币型基金指数</t>
  </si>
  <si>
    <t>95%中证红利+5%中债综合全价（总值）指数</t>
  </si>
  <si>
    <t>20%中债综合全价（总值）指数+80%彭博巴克莱全球综合指数</t>
  </si>
  <si>
    <t>70%中债综合全价（总值）指数+5%SGE黄金9999+12.50%人民币计价的MSCI全球指数+12.50%中证800</t>
  </si>
  <si>
    <t>87%中债综合全价（总值）指数+3%SGE黄金9999+5%人民币计价的MSCI全球指数+5%中证800</t>
  </si>
  <si>
    <t>95%中证800+5%中债综合全价（总值）指数</t>
  </si>
  <si>
    <t>2.5%沪深300指数+2.5%人民币计价的MSCI全球指数+5%SGE黄金9999+90%中债综合全价（总值）指数</t>
  </si>
  <si>
    <t>5.5%沪深300指数+5.5%人民币计价的MSCI全球指数+9%SGE黄金9999+80%中债综合全价（总值）指数</t>
  </si>
  <si>
    <t>65%中债-总全价(总值)指数+10%SGE黄金9999+12.50%人民币计价的MSCI全球指数+12.50%中证800</t>
  </si>
  <si>
    <t>76%中债-总全价(总值)指数+10%SGE黄金9999+7%人民币计价的MSCI全球指数+7%中证800</t>
  </si>
  <si>
    <t>25%沪深300指数+20%中债综合全价（总值）指数+30%SGE黄金9999+25%人民币计价的MSCI全球指数</t>
  </si>
  <si>
    <t>10%沪深300指数+80%中债综合全价（总值）指数+5%SGE黄金9999+5%人民币计价的MSCI全球指数</t>
  </si>
  <si>
    <t>15%沪深300指数+15%人民币计价的MSCI全球指数+10%SGE黄金9999+60%中债综合全价（总值）指数</t>
  </si>
  <si>
    <t>20%沪深300指数+20%人民币计价的MSCI全球指数+10%SGE黄金9999+50%中债综合全价（总值）指数</t>
  </si>
  <si>
    <t>5.50%沪深300指数+5.50%人民币计价的MSCI全球指数+9%SGE黄金9999+80%中债综合全价（总值）指数</t>
  </si>
  <si>
    <t>25%沪深300指数+25%人民币计价的MSCI全球指数+30%SGE黄金9999+20%中债综合全价（总值）指数</t>
  </si>
  <si>
    <t>50%中债综合全价（总值）指数+20%中证800+20%人民币计价的MSCI全球指数+10%SGE黄金9999</t>
  </si>
  <si>
    <t>15%中证800+15%人民币计价的MSCI全球指数+10%SGE黄金9999+60%中债综合全价（总值）指数</t>
  </si>
  <si>
    <t>95%中证货币型基金指数+5%沪深300指数</t>
  </si>
  <si>
    <t>5%中证800+5%人民币计价的MSCI全球指数+3%SGE黄金9999+87%中债综合全价（总值）指数</t>
  </si>
  <si>
    <t>8.50%中证800+8.50%人民币计价的MSCI全球指数+3%SGE黄金9999+80%中债综合全价（总值）指数</t>
  </si>
  <si>
    <t>12.50%中证800+12.50%人民币计价的MSCI全球指数+5%SGE黄金9999+70%中债综合全价（总值）指数</t>
  </si>
  <si>
    <t>40%中证800+40%人民币计价的MSCI全球指数+5%SGE黄金9999+15%中债综合全价（总值）指数</t>
  </si>
  <si>
    <t>2.50%沪深300指数+2.50%人民币计价的MSCI全球指数+5%SGE黄金9999+90%中债综合全价（总值）指数</t>
  </si>
  <si>
    <t>8.5%中证800+80%中债综合全价（总值）指数+8.5%人民币计价的MSCI全球指数+3%SGE黄金9999</t>
  </si>
  <si>
    <t>50%中证短债+50%沪深300指数</t>
  </si>
  <si>
    <t>95%沪深300指数+5%中证全债</t>
  </si>
  <si>
    <t>70%中证短债+30%沪深300指数</t>
  </si>
  <si>
    <t>90%中证短债+10%沪深300指数</t>
  </si>
  <si>
    <t>10%沪深300指数+90%中证短债</t>
  </si>
  <si>
    <t>30%沪深300指数+70%中证短债</t>
  </si>
  <si>
    <t>10%中证短债+90%沪深300指数</t>
  </si>
  <si>
    <t>20%沪深300指数+80%中证短债</t>
  </si>
  <si>
    <t>92%中证短债+8%沪深300指数</t>
  </si>
  <si>
    <t>95%沪深300指数+5%中证短债</t>
  </si>
  <si>
    <t>95%内地消费+5%中债综合全价（总值）指数</t>
  </si>
  <si>
    <t>95%中证科技+5%中债综合全价（总值）指数</t>
  </si>
  <si>
    <t>40%沪深300指数+60%中债综合全价（总值）指数</t>
  </si>
  <si>
    <t>8.5%沪深300指数+80%中债综合全价（总值）指数+3%SGE黄金9999+8.5%MSCI发达市场</t>
  </si>
  <si>
    <t>40%沪深300指数+15%中债综合全价（总值）指数+5%SGE黄金9999+40%MSCI发达市场</t>
  </si>
  <si>
    <t>5%中债综合全价（总值）指数+95%MSCI发达市场</t>
  </si>
  <si>
    <t>90%中债综合全价（总值）指数+10%沪深300指数</t>
  </si>
  <si>
    <t>10%中证800+90%中债综合全价（总值）指数</t>
  </si>
  <si>
    <t>70%中债综合全价（总值）指数+10%SGE黄金9999+10%人民币计价的MSCI全球指数+10%中证800</t>
  </si>
  <si>
    <t>75%中债综合全价（总值）指数+7%SGE黄金9999+8%人民币计价的MSCI全球指数+10%中证800</t>
  </si>
  <si>
    <t>20%中证800+10%SGE黄金9999+50%中债综合全价（总值）指数+20%MSCI发达市场</t>
  </si>
  <si>
    <t>8.50%沪深300指数+8.50%人民币计价的MSCI全球指数+3%SGE黄金9999+80%中债综合全价（总值）指数</t>
  </si>
  <si>
    <t>97%中证短债+3%沪深300指数</t>
  </si>
  <si>
    <t>5%沪深300指数+95%中证短债</t>
  </si>
  <si>
    <t>10%中证800+3%SGE黄金9999+87%中债综合全价（总值）指数</t>
  </si>
  <si>
    <t>80%中证货币型基金指数+20%中债综合全价（总值）指数</t>
  </si>
  <si>
    <t>92%中债综合全价（总值）指数+8%沪深300指数</t>
  </si>
  <si>
    <t>85%中债综合全价（总值）指数+5%SGE黄金9999+10%中证800</t>
  </si>
  <si>
    <t>15%沪深300指数+85%中债综合全价（总值）指数</t>
  </si>
  <si>
    <t>偏债混合/债券型</t>
  </si>
  <si>
    <t>股票型</t>
  </si>
  <si>
    <t>货币型</t>
  </si>
  <si>
    <t>偏债混合型</t>
  </si>
  <si>
    <t>纯债型</t>
  </si>
  <si>
    <t>平衡混合型</t>
  </si>
  <si>
    <t>偏股混合型</t>
  </si>
  <si>
    <t>另类/商品型</t>
  </si>
  <si>
    <t>策略数量</t>
  </si>
  <si>
    <t>对应公募基金类型</t>
  </si>
  <si>
    <t>策略平均YTD(%)</t>
  </si>
  <si>
    <t>策略平均排名百分位(%)</t>
  </si>
  <si>
    <t>策略中位数排名百分位(%)</t>
  </si>
  <si>
    <t>策略最高排名百分位(%)</t>
  </si>
  <si>
    <t>策略最低排名百分位(%)</t>
  </si>
  <si>
    <t>债券型-混合一级, 债券型-混合二级, 混合型-偏债</t>
  </si>
  <si>
    <t>混合型-偏债</t>
  </si>
  <si>
    <t>混合型-偏股</t>
  </si>
  <si>
    <t>QDII-商品, 指数型-其他</t>
  </si>
  <si>
    <t>混合型-偏债, 混合型-偏股, 混合型-平衡, 混合型-灵活</t>
  </si>
  <si>
    <t>债券型-长债, 债券型-中短债, 债券型-利率债, 债券型-信用债</t>
  </si>
  <si>
    <t>股票型, 指数型-股票</t>
  </si>
  <si>
    <t>货币型-普通货币, 货币型-浮动净值</t>
  </si>
  <si>
    <t>分类规则和排名方法说明</t>
  </si>
  <si>
    <t>一、策略基准分类规则</t>
  </si>
  <si>
    <t>根据每个投顾策略的基准组成，计算权益类资产占比，映射到公募基金分类：</t>
  </si>
  <si>
    <t>权益占比</t>
  </si>
  <si>
    <t>0%（纯货币基准）</t>
  </si>
  <si>
    <t>0%（纯债基准）</t>
  </si>
  <si>
    <t>0-10%</t>
  </si>
  <si>
    <t>10-30%</t>
  </si>
  <si>
    <t>30-50%</t>
  </si>
  <si>
    <t>50-70%</t>
  </si>
  <si>
    <t>70-100%</t>
  </si>
  <si>
    <t>另类为主(&gt;50%黄金)</t>
  </si>
  <si>
    <t>二、权益类资产认定标准</t>
  </si>
  <si>
    <t>权益类指数：沪深300、中证800、中证500、MSCI全球/发达市场、中证科技、中证红利、恒生指数、内地消费等</t>
  </si>
  <si>
    <t>固收类指数：中债综合全价、中证短债、中证全债、彭博巴克莱全球综合指数等</t>
  </si>
  <si>
    <t>另类资产：SGE黄金9999 → 归入另类资产，不算权益也不算固收</t>
  </si>
  <si>
    <t>货币类：中证货币型基金指数 → 归入货币类</t>
  </si>
  <si>
    <t>三、排名计算方法</t>
  </si>
  <si>
    <t>1. 根据策略基准的权益占比确定对应的公募基金分类</t>
  </si>
  <si>
    <t>2. 在该分类的所有公募基金中，用策略的YTD累计收益率与公募基金的YTD收益率对比</t>
  </si>
  <si>
    <t>3. 排名 = 收益率高于该策略的基金数量 + 1</t>
  </si>
  <si>
    <t>4. 排名百分位 = (1 - 排名/总基金数) × 100%</t>
  </si>
  <si>
    <t>5. 百分位≥50%表示策略收益率超过半数同类基金</t>
  </si>
  <si>
    <t>四、数据来源与时间</t>
  </si>
  <si>
    <t>公募基金YTD数据来源：东方财富网-天天基金（通过AKShare接口fund_open_fund_rank_em和fund_money_rank_em获取）</t>
  </si>
  <si>
    <t>基金分类数据来源：AKShare接口fund_name_em</t>
  </si>
  <si>
    <t>YTD时间范围：2025年上半年（截至2025-06-30的最新"今年来"收益率数据）</t>
  </si>
  <si>
    <t>数据获取日期：2026-07-01</t>
  </si>
  <si>
    <t>排除条件：缺少YTD数据的基金（如新成立基金）已从排名池排除</t>
  </si>
  <si>
    <t>五、特殊情况处理</t>
  </si>
  <si>
    <t>1. "95%中证货币型基金指数+5%沪深300指数"：权益占比5%，归入偏债混合/债券型（0-10%权益区间）</t>
  </si>
  <si>
    <t>2. "80%中证货币型基金指数+20%中债综合全价指数"：权益占比0%，归入货币型（货币+债券组合，无权益）</t>
  </si>
  <si>
    <t>3. "90%SGE黄金9999+10%中证货币型基金指数"：另类占比90%，归入另类/商品型</t>
  </si>
  <si>
    <t>4. "85%中债综合全价+5%SGE黄金9999+10%中证800"：权益占比10%，归入偏债混合/债券型</t>
  </si>
  <si>
    <t>5. 货币型策略对比池使用货币基金排名数据（542只货币基金）</t>
  </si>
  <si>
    <t>6. 另类/商品型策略对比池含QDII-商品基金和黄金ETF（指数型-其他），共46只基金</t>
  </si>
  <si>
    <t>AKShare对比分类</t>
  </si>
  <si>
    <t>货币型-普通货币/浮动净值</t>
  </si>
  <si>
    <t>债券型-长债/中短债/利率债/信用债</t>
  </si>
  <si>
    <t>债券型-混合一级/二级 + 混合型-偏债</t>
  </si>
  <si>
    <t>混合型-偏债+偏股+平衡+灵活</t>
  </si>
  <si>
    <t>股票型+指数型-股票</t>
  </si>
  <si>
    <t>QDII-商品+指数型-其他(含黄金ETF)</t>
  </si>
  <si>
    <t>说明</t>
  </si>
  <si>
    <t>基准100%为中证货币型基金指数或货币+债券组合（无权益）</t>
  </si>
  <si>
    <t>基准100%为中债综合全价指数等债券指数</t>
  </si>
  <si>
    <t>含少量权益的固收+策略</t>
  </si>
  <si>
    <t>权益占比10-30%的混合策略</t>
  </si>
  <si>
    <t>股债平衡策略，取中间范围</t>
  </si>
  <si>
    <t>权益占主导但含固收成分</t>
  </si>
  <si>
    <t>高权益占比策略</t>
  </si>
  <si>
    <t>主要为黄金等另类资产</t>
  </si>
  <si>
    <t>排名位置百分位</t>
  </si>
  <si>
    <t>击败百分比</t>
  </si>
</sst>
</file>

<file path=xl/styles.xml><?xml version="1.0" encoding="utf-8"?>
<styleSheet xmlns="http://schemas.openxmlformats.org/spreadsheetml/2006/main">
  <numFmts count="2">
    <numFmt numFmtId="0" formatCode="General"/>
    <numFmt numFmtId="10" formatCode="0.00%"/>
  </numFmts>
  <fonts count="3">
    <font>
      <name val="宋体"/>
      <sz val="11"/>
    </font>
    <font>
      <name val="宋体"/>
      <sz val="11"/>
      <color rgb="FF000000"/>
    </font>
    <font>
      <name val="宋体"/>
      <b/>
      <sz val="11"/>
      <color rgb="FF000000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10" fontId="1" fillId="0" borderId="0" xfId="0" applyNumberFormat="1" applyAlignment="1">
      <alignment vertical="bottom"/>
    </xf>
    <xf numFmtId="0" fontId="1" fillId="0" borderId="0" xfId="0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10" fontId="2" fillId="0" borderId="1" xfId="0" applyNumberFormat="1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defaultTableStyle="TableStyleMedium9" defaultPivotStyle="PivotStyleLight16" count="0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www.wps.cn/officeDocument/2020/cellImage" Target="cellimages.xml"/><Relationship Id="rId5" Type="http://schemas.openxmlformats.org/officeDocument/2006/relationships/sharedStrings" Target="sharedStrings.xml"/><Relationship Id="rId6" Type="http://schemas.openxmlformats.org/officeDocument/2006/relationships/styles" Target="styles.xml"/><Relationship Id="rId7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P152"/>
  <sheetViews>
    <sheetView tabSelected="1" workbookViewId="0">
      <selection activeCell="K18" sqref="K18"/>
    </sheetView>
  </sheetViews>
  <sheetFormatPr defaultRowHeight="13.5" defaultColWidth="10"/>
  <cols>
    <col min="1" max="1" customWidth="1" width="12.75" style="0"/>
    <col min="2" max="2" customWidth="1" width="18.75" style="0"/>
    <col min="3" max="3" customWidth="1" width="48.75" style="0"/>
    <col min="4" max="6" customWidth="1" width="10.75" style="0"/>
    <col min="7" max="10" customWidth="1" width="8.75" style="0"/>
    <col min="11" max="11" customWidth="1" width="18.0" style="0"/>
    <col min="12" max="12" customWidth="1" width="14.25" style="0"/>
    <col min="13" max="14" customWidth="1" width="11.25" style="0"/>
    <col min="15" max="15" customWidth="1" width="9.75" style="1"/>
  </cols>
  <sheetData>
    <row r="1" spans="8:8" s="2" ht="27.0" customForma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429</v>
      </c>
      <c r="O1" s="4" t="s">
        <v>428</v>
      </c>
    </row>
    <row r="2" spans="8:8">
      <c r="A2" t="s">
        <v>13</v>
      </c>
      <c r="B2" t="s">
        <v>164</v>
      </c>
      <c r="C2" t="s">
        <v>272</v>
      </c>
      <c r="D2">
        <v>0.95</v>
      </c>
      <c r="E2">
        <v>1.48</v>
      </c>
      <c r="F2">
        <v>2.05</v>
      </c>
      <c r="G2">
        <v>8.0</v>
      </c>
      <c r="H2">
        <v>92.0</v>
      </c>
      <c r="I2">
        <v>0.0</v>
      </c>
      <c r="J2">
        <v>0.0</v>
      </c>
      <c r="K2" t="s">
        <v>353</v>
      </c>
      <c r="L2">
        <v>3174.0</v>
      </c>
      <c r="M2">
        <v>2127.0</v>
      </c>
      <c r="N2" s="1">
        <f>1-O2</f>
        <v>0.329867674858223</v>
      </c>
      <c r="O2" s="1">
        <f>M2/L2</f>
        <v>0.6701323251417769</v>
      </c>
    </row>
    <row r="3" spans="8:8">
      <c r="A3" t="s">
        <v>14</v>
      </c>
      <c r="B3" t="s">
        <v>165</v>
      </c>
      <c r="C3" t="s">
        <v>273</v>
      </c>
      <c r="D3">
        <v>20.27</v>
      </c>
      <c r="E3">
        <v>7.24</v>
      </c>
      <c r="F3">
        <v>48.84</v>
      </c>
      <c r="G3">
        <v>95.0</v>
      </c>
      <c r="H3">
        <v>5.0</v>
      </c>
      <c r="I3">
        <v>0.0</v>
      </c>
      <c r="J3">
        <v>0.0</v>
      </c>
      <c r="K3" t="s">
        <v>354</v>
      </c>
      <c r="L3">
        <v>4428.0</v>
      </c>
      <c r="M3">
        <v>1274.0</v>
      </c>
      <c r="N3" s="1">
        <f t="shared" si="0" ref="N3:N66">1-O3</f>
        <v>0.7122854561878951</v>
      </c>
      <c r="O3" s="1">
        <f t="shared" si="1" ref="O3:O66">M3/L3</f>
        <v>0.28771454381210476</v>
      </c>
    </row>
    <row r="4" spans="8:8">
      <c r="A4" t="s">
        <v>15</v>
      </c>
      <c r="B4" t="s">
        <v>166</v>
      </c>
      <c r="C4" t="s">
        <v>274</v>
      </c>
      <c r="D4">
        <v>2.31</v>
      </c>
      <c r="E4">
        <v>1.27</v>
      </c>
      <c r="F4">
        <v>5.04</v>
      </c>
      <c r="G4">
        <v>5.0</v>
      </c>
      <c r="H4">
        <v>95.0</v>
      </c>
      <c r="I4">
        <v>0.0</v>
      </c>
      <c r="J4">
        <v>0.0</v>
      </c>
      <c r="K4" t="s">
        <v>353</v>
      </c>
      <c r="L4">
        <v>3174.0</v>
      </c>
      <c r="M4">
        <v>1241.0</v>
      </c>
      <c r="N4" s="1">
        <f t="shared" si="0"/>
        <v>0.609010712035287</v>
      </c>
      <c r="O4" s="1">
        <f t="shared" si="1"/>
        <v>0.3909892879647133</v>
      </c>
    </row>
    <row r="5" spans="8:8">
      <c r="A5" t="s">
        <v>16</v>
      </c>
      <c r="B5" t="s">
        <v>167</v>
      </c>
      <c r="C5" t="s">
        <v>275</v>
      </c>
      <c r="D5">
        <v>0.73</v>
      </c>
      <c r="E5">
        <v>0.54</v>
      </c>
      <c r="F5">
        <v>1.59</v>
      </c>
      <c r="G5">
        <v>0.0</v>
      </c>
      <c r="H5">
        <v>0.0</v>
      </c>
      <c r="I5">
        <v>100.0</v>
      </c>
      <c r="J5">
        <v>0.0</v>
      </c>
      <c r="K5" t="s">
        <v>355</v>
      </c>
      <c r="L5">
        <v>542.0</v>
      </c>
      <c r="M5">
        <v>2.0</v>
      </c>
      <c r="N5" s="1">
        <f t="shared" si="0"/>
        <v>0.996309963099631</v>
      </c>
      <c r="O5" s="1">
        <f t="shared" si="1"/>
        <v>0.0036900369003690036</v>
      </c>
    </row>
    <row r="6" spans="8:8">
      <c r="A6" t="s">
        <v>17</v>
      </c>
      <c r="B6" t="s">
        <v>168</v>
      </c>
      <c r="C6" t="s">
        <v>273</v>
      </c>
      <c r="D6">
        <v>17.99</v>
      </c>
      <c r="E6">
        <v>7.24</v>
      </c>
      <c r="F6">
        <v>42.84</v>
      </c>
      <c r="G6">
        <v>95.0</v>
      </c>
      <c r="H6">
        <v>5.0</v>
      </c>
      <c r="I6">
        <v>0.0</v>
      </c>
      <c r="J6">
        <v>0.0</v>
      </c>
      <c r="K6" t="s">
        <v>354</v>
      </c>
      <c r="L6">
        <v>4428.0</v>
      </c>
      <c r="M6">
        <v>1422.0</v>
      </c>
      <c r="N6" s="1">
        <f t="shared" si="0"/>
        <v>0.678861788617886</v>
      </c>
      <c r="O6" s="1">
        <f t="shared" si="1"/>
        <v>0.32113821138211385</v>
      </c>
    </row>
    <row r="7" spans="8:8">
      <c r="A7" t="s">
        <v>18</v>
      </c>
      <c r="B7" t="s">
        <v>164</v>
      </c>
      <c r="C7" t="s">
        <v>272</v>
      </c>
      <c r="D7">
        <v>1.17</v>
      </c>
      <c r="E7">
        <v>1.48</v>
      </c>
      <c r="F7">
        <v>2.53</v>
      </c>
      <c r="G7">
        <v>8.0</v>
      </c>
      <c r="H7">
        <v>92.0</v>
      </c>
      <c r="I7">
        <v>0.0</v>
      </c>
      <c r="J7">
        <v>0.0</v>
      </c>
      <c r="K7" t="s">
        <v>353</v>
      </c>
      <c r="L7">
        <v>3174.0</v>
      </c>
      <c r="M7">
        <v>1979.0</v>
      </c>
      <c r="N7" s="1">
        <f t="shared" si="0"/>
        <v>0.37649653434152497</v>
      </c>
      <c r="O7" s="1">
        <f t="shared" si="1"/>
        <v>0.6235034656584751</v>
      </c>
    </row>
    <row r="8" spans="8:8">
      <c r="A8" t="s">
        <v>19</v>
      </c>
      <c r="B8" t="s">
        <v>169</v>
      </c>
      <c r="C8" t="s">
        <v>276</v>
      </c>
      <c r="D8">
        <v>33.93</v>
      </c>
      <c r="E8">
        <v>6.94</v>
      </c>
      <c r="F8">
        <v>87.7</v>
      </c>
      <c r="G8">
        <v>90.0</v>
      </c>
      <c r="H8">
        <v>10.0</v>
      </c>
      <c r="I8">
        <v>0.0</v>
      </c>
      <c r="J8">
        <v>0.0</v>
      </c>
      <c r="K8" t="s">
        <v>354</v>
      </c>
      <c r="L8">
        <v>4428.0</v>
      </c>
      <c r="M8">
        <v>863.0</v>
      </c>
      <c r="N8" s="1">
        <f t="shared" si="0"/>
        <v>0.805103884372177</v>
      </c>
      <c r="O8" s="1">
        <f t="shared" si="1"/>
        <v>0.19489611562782294</v>
      </c>
    </row>
    <row r="9" spans="8:8">
      <c r="A9" t="s">
        <v>20</v>
      </c>
      <c r="B9" t="s">
        <v>170</v>
      </c>
      <c r="C9" t="s">
        <v>277</v>
      </c>
      <c r="D9">
        <v>4.42</v>
      </c>
      <c r="E9">
        <v>2.33</v>
      </c>
      <c r="F9">
        <v>9.77</v>
      </c>
      <c r="G9">
        <v>20.0</v>
      </c>
      <c r="H9">
        <v>80.0</v>
      </c>
      <c r="I9">
        <v>0.0</v>
      </c>
      <c r="J9">
        <v>0.0</v>
      </c>
      <c r="K9" t="s">
        <v>356</v>
      </c>
      <c r="L9">
        <v>1140.0</v>
      </c>
      <c r="M9">
        <v>301.0</v>
      </c>
      <c r="N9" s="1">
        <f t="shared" si="0"/>
        <v>0.7359649122807019</v>
      </c>
      <c r="O9" s="1">
        <f t="shared" si="1"/>
        <v>0.26403508771929823</v>
      </c>
    </row>
    <row r="10" spans="8:8">
      <c r="A10" t="s">
        <v>21</v>
      </c>
      <c r="B10" t="s">
        <v>168</v>
      </c>
      <c r="C10" t="s">
        <v>273</v>
      </c>
      <c r="D10">
        <v>20.73</v>
      </c>
      <c r="E10">
        <v>7.24</v>
      </c>
      <c r="F10">
        <v>50.07</v>
      </c>
      <c r="G10">
        <v>95.0</v>
      </c>
      <c r="H10">
        <v>5.0</v>
      </c>
      <c r="I10">
        <v>0.0</v>
      </c>
      <c r="J10">
        <v>0.0</v>
      </c>
      <c r="K10" t="s">
        <v>354</v>
      </c>
      <c r="L10">
        <v>4428.0</v>
      </c>
      <c r="M10">
        <v>1244.0</v>
      </c>
      <c r="N10" s="1">
        <f t="shared" si="0"/>
        <v>0.719060523938573</v>
      </c>
      <c r="O10" s="1">
        <f t="shared" si="1"/>
        <v>0.2809394760614273</v>
      </c>
    </row>
    <row r="11" spans="8:8">
      <c r="A11" t="s">
        <v>22</v>
      </c>
      <c r="B11" t="s">
        <v>171</v>
      </c>
      <c r="C11" t="s">
        <v>275</v>
      </c>
      <c r="D11">
        <v>1.21</v>
      </c>
      <c r="E11">
        <v>0.54</v>
      </c>
      <c r="F11">
        <v>2.63</v>
      </c>
      <c r="G11">
        <v>0.0</v>
      </c>
      <c r="H11">
        <v>0.0</v>
      </c>
      <c r="I11">
        <v>100.0</v>
      </c>
      <c r="J11">
        <v>0.0</v>
      </c>
      <c r="K11" t="s">
        <v>355</v>
      </c>
      <c r="L11">
        <v>542.0</v>
      </c>
      <c r="M11">
        <v>1.0</v>
      </c>
      <c r="N11" s="1">
        <f t="shared" si="0"/>
        <v>0.9981549815498155</v>
      </c>
      <c r="O11" s="1">
        <f t="shared" si="1"/>
        <v>0.0018450184501845018</v>
      </c>
    </row>
    <row r="12" spans="8:8">
      <c r="A12" t="s">
        <v>23</v>
      </c>
      <c r="B12" t="s">
        <v>172</v>
      </c>
      <c r="C12" t="s">
        <v>278</v>
      </c>
      <c r="D12">
        <v>1.04</v>
      </c>
      <c r="E12">
        <v>0.91</v>
      </c>
      <c r="F12">
        <v>2.25</v>
      </c>
      <c r="G12">
        <v>0.0</v>
      </c>
      <c r="H12">
        <v>100.0</v>
      </c>
      <c r="I12">
        <v>0.0</v>
      </c>
      <c r="J12">
        <v>0.0</v>
      </c>
      <c r="K12" t="s">
        <v>357</v>
      </c>
      <c r="L12">
        <v>2615.0</v>
      </c>
      <c r="M12">
        <v>1761.0</v>
      </c>
      <c r="N12" s="1">
        <f t="shared" si="0"/>
        <v>0.326577437858509</v>
      </c>
      <c r="O12" s="1">
        <f t="shared" si="1"/>
        <v>0.6734225621414914</v>
      </c>
    </row>
    <row r="13" spans="8:8">
      <c r="A13" t="s">
        <v>24</v>
      </c>
      <c r="B13" t="s">
        <v>173</v>
      </c>
      <c r="C13" t="s">
        <v>279</v>
      </c>
      <c r="D13">
        <v>2.3</v>
      </c>
      <c r="E13">
        <v>1.52</v>
      </c>
      <c r="F13">
        <v>5.02</v>
      </c>
      <c r="G13">
        <v>17.0</v>
      </c>
      <c r="H13">
        <v>80.0</v>
      </c>
      <c r="I13">
        <v>0.0</v>
      </c>
      <c r="J13">
        <v>3.0</v>
      </c>
      <c r="K13" t="s">
        <v>356</v>
      </c>
      <c r="L13">
        <v>1140.0</v>
      </c>
      <c r="M13">
        <v>519.0</v>
      </c>
      <c r="N13" s="1">
        <f t="shared" si="0"/>
        <v>0.544736842105263</v>
      </c>
      <c r="O13" s="1">
        <f t="shared" si="1"/>
        <v>0.45526315789473687</v>
      </c>
    </row>
    <row r="14" spans="8:8">
      <c r="A14" t="s">
        <v>25</v>
      </c>
      <c r="B14" t="s">
        <v>174</v>
      </c>
      <c r="C14" t="s">
        <v>278</v>
      </c>
      <c r="D14">
        <v>1.8</v>
      </c>
      <c r="E14">
        <v>0.91</v>
      </c>
      <c r="F14">
        <v>3.91</v>
      </c>
      <c r="G14">
        <v>0.0</v>
      </c>
      <c r="H14">
        <v>100.0</v>
      </c>
      <c r="I14">
        <v>0.0</v>
      </c>
      <c r="J14">
        <v>0.0</v>
      </c>
      <c r="K14" t="s">
        <v>357</v>
      </c>
      <c r="L14">
        <v>2615.0</v>
      </c>
      <c r="M14">
        <v>448.0</v>
      </c>
      <c r="N14" s="1">
        <f t="shared" si="0"/>
        <v>0.82868068833652</v>
      </c>
      <c r="O14" s="1">
        <f t="shared" si="1"/>
        <v>0.1713193116634799</v>
      </c>
    </row>
    <row r="15" spans="8:8">
      <c r="A15" t="s">
        <v>26</v>
      </c>
      <c r="B15" t="s">
        <v>175</v>
      </c>
      <c r="C15" t="s">
        <v>280</v>
      </c>
      <c r="D15">
        <v>-1.12</v>
      </c>
      <c r="E15">
        <v>1.79</v>
      </c>
      <c r="F15">
        <v>-2.39</v>
      </c>
      <c r="G15">
        <v>35.0</v>
      </c>
      <c r="H15">
        <v>55.0</v>
      </c>
      <c r="I15">
        <v>0.0</v>
      </c>
      <c r="J15">
        <v>10.0</v>
      </c>
      <c r="K15" t="s">
        <v>358</v>
      </c>
      <c r="L15">
        <v>8117.0</v>
      </c>
      <c r="M15">
        <v>5762.0</v>
      </c>
      <c r="N15" s="1">
        <f t="shared" si="0"/>
        <v>0.290131822101762</v>
      </c>
      <c r="O15" s="1">
        <f t="shared" si="1"/>
        <v>0.7098681778982383</v>
      </c>
    </row>
    <row r="16" spans="8:8">
      <c r="A16" t="s">
        <v>27</v>
      </c>
      <c r="B16" t="s">
        <v>176</v>
      </c>
      <c r="C16" t="s">
        <v>281</v>
      </c>
      <c r="D16">
        <v>22.03</v>
      </c>
      <c r="E16">
        <v>3.47</v>
      </c>
      <c r="F16">
        <v>53.59</v>
      </c>
      <c r="G16">
        <v>95.0</v>
      </c>
      <c r="H16">
        <v>5.0</v>
      </c>
      <c r="I16">
        <v>0.0</v>
      </c>
      <c r="J16">
        <v>0.0</v>
      </c>
      <c r="K16" t="s">
        <v>354</v>
      </c>
      <c r="L16">
        <v>4428.0</v>
      </c>
      <c r="M16">
        <v>1140.0</v>
      </c>
      <c r="N16" s="1">
        <f t="shared" si="0"/>
        <v>0.742547425474255</v>
      </c>
      <c r="O16" s="1">
        <f t="shared" si="1"/>
        <v>0.25745257452574527</v>
      </c>
    </row>
    <row r="17" spans="8:8">
      <c r="A17" t="s">
        <v>28</v>
      </c>
      <c r="B17" t="s">
        <v>177</v>
      </c>
      <c r="C17" t="s">
        <v>282</v>
      </c>
      <c r="D17">
        <v>1.84</v>
      </c>
      <c r="E17">
        <v>1.03</v>
      </c>
      <c r="F17">
        <v>4.01</v>
      </c>
      <c r="G17">
        <v>14.0</v>
      </c>
      <c r="H17">
        <v>76.0</v>
      </c>
      <c r="I17">
        <v>0.0</v>
      </c>
      <c r="J17">
        <v>10.0</v>
      </c>
      <c r="K17" t="s">
        <v>356</v>
      </c>
      <c r="L17">
        <v>1140.0</v>
      </c>
      <c r="M17">
        <v>583.0</v>
      </c>
      <c r="N17" s="1">
        <f t="shared" si="0"/>
        <v>0.48859649122807003</v>
      </c>
      <c r="O17" s="1">
        <f t="shared" si="1"/>
        <v>0.5114035087719299</v>
      </c>
    </row>
    <row r="18" spans="8:8">
      <c r="A18" t="s">
        <v>29</v>
      </c>
      <c r="B18" t="s">
        <v>178</v>
      </c>
      <c r="C18" t="s">
        <v>278</v>
      </c>
      <c r="D18">
        <v>0.98</v>
      </c>
      <c r="E18">
        <v>0.91</v>
      </c>
      <c r="F18">
        <v>2.12</v>
      </c>
      <c r="G18">
        <v>0.0</v>
      </c>
      <c r="H18">
        <v>100.0</v>
      </c>
      <c r="I18">
        <v>0.0</v>
      </c>
      <c r="J18">
        <v>0.0</v>
      </c>
      <c r="K18" t="s">
        <v>357</v>
      </c>
      <c r="L18">
        <v>2615.0</v>
      </c>
      <c r="M18">
        <v>1917.0</v>
      </c>
      <c r="N18" s="1">
        <f t="shared" si="0"/>
        <v>0.266921606118547</v>
      </c>
      <c r="O18" s="1">
        <f t="shared" si="1"/>
        <v>0.7330783938814531</v>
      </c>
    </row>
    <row r="19" spans="8:8">
      <c r="A19" t="s">
        <v>30</v>
      </c>
      <c r="B19" t="s">
        <v>179</v>
      </c>
      <c r="C19" t="s">
        <v>283</v>
      </c>
      <c r="D19">
        <v>-1.97</v>
      </c>
      <c r="E19">
        <v>10.63</v>
      </c>
      <c r="F19">
        <v>-4.2</v>
      </c>
      <c r="G19">
        <v>95.0</v>
      </c>
      <c r="H19">
        <v>5.0</v>
      </c>
      <c r="I19">
        <v>0.0</v>
      </c>
      <c r="J19">
        <v>0.0</v>
      </c>
      <c r="K19" t="s">
        <v>354</v>
      </c>
      <c r="L19">
        <v>4428.0</v>
      </c>
      <c r="M19">
        <v>3001.0</v>
      </c>
      <c r="N19" s="1">
        <f t="shared" si="0"/>
        <v>0.32226738934056</v>
      </c>
      <c r="O19" s="1">
        <f t="shared" si="1"/>
        <v>0.6777326106594399</v>
      </c>
    </row>
    <row r="20" spans="8:8">
      <c r="A20" t="s">
        <v>31</v>
      </c>
      <c r="B20" t="s">
        <v>180</v>
      </c>
      <c r="C20" t="s">
        <v>284</v>
      </c>
      <c r="D20">
        <v>2.29</v>
      </c>
      <c r="E20">
        <v>1.52</v>
      </c>
      <c r="F20">
        <v>5.01</v>
      </c>
      <c r="G20">
        <v>17.0</v>
      </c>
      <c r="H20">
        <v>80.0</v>
      </c>
      <c r="I20">
        <v>0.0</v>
      </c>
      <c r="J20">
        <v>3.0</v>
      </c>
      <c r="K20" t="s">
        <v>356</v>
      </c>
      <c r="L20">
        <v>1140.0</v>
      </c>
      <c r="M20">
        <v>519.0</v>
      </c>
      <c r="N20" s="1">
        <f t="shared" si="0"/>
        <v>0.544736842105263</v>
      </c>
      <c r="O20" s="1">
        <f t="shared" si="1"/>
        <v>0.45526315789473687</v>
      </c>
    </row>
    <row r="21" spans="8:8">
      <c r="A21" t="s">
        <v>32</v>
      </c>
      <c r="B21" t="s">
        <v>181</v>
      </c>
      <c r="C21" t="s">
        <v>275</v>
      </c>
      <c r="D21">
        <v>0.82</v>
      </c>
      <c r="E21">
        <v>0.54</v>
      </c>
      <c r="F21">
        <v>1.78</v>
      </c>
      <c r="G21">
        <v>0.0</v>
      </c>
      <c r="H21">
        <v>0.0</v>
      </c>
      <c r="I21">
        <v>100.0</v>
      </c>
      <c r="J21">
        <v>0.0</v>
      </c>
      <c r="K21" t="s">
        <v>355</v>
      </c>
      <c r="L21">
        <v>542.0</v>
      </c>
      <c r="M21">
        <v>1.0</v>
      </c>
      <c r="N21" s="1">
        <f t="shared" si="0"/>
        <v>0.9981549815498155</v>
      </c>
      <c r="O21" s="1">
        <f t="shared" si="1"/>
        <v>0.0018450184501845018</v>
      </c>
    </row>
    <row r="22" spans="8:8">
      <c r="A22" t="s">
        <v>33</v>
      </c>
      <c r="B22" t="s">
        <v>182</v>
      </c>
      <c r="C22" t="s">
        <v>274</v>
      </c>
      <c r="D22">
        <v>2.3</v>
      </c>
      <c r="E22">
        <v>1.27</v>
      </c>
      <c r="F22">
        <v>5.03</v>
      </c>
      <c r="G22">
        <v>5.0</v>
      </c>
      <c r="H22">
        <v>95.0</v>
      </c>
      <c r="I22">
        <v>0.0</v>
      </c>
      <c r="J22">
        <v>0.0</v>
      </c>
      <c r="K22" t="s">
        <v>353</v>
      </c>
      <c r="L22">
        <v>3174.0</v>
      </c>
      <c r="M22">
        <v>1244.0</v>
      </c>
      <c r="N22" s="1">
        <f t="shared" si="0"/>
        <v>0.608065532451166</v>
      </c>
      <c r="O22" s="1">
        <f t="shared" si="1"/>
        <v>0.39193446754883426</v>
      </c>
    </row>
    <row r="23" spans="8:8">
      <c r="A23" t="s">
        <v>34</v>
      </c>
      <c r="B23" t="s">
        <v>164</v>
      </c>
      <c r="C23" t="s">
        <v>272</v>
      </c>
      <c r="D23">
        <v>1.11</v>
      </c>
      <c r="E23">
        <v>1.48</v>
      </c>
      <c r="F23">
        <v>2.41</v>
      </c>
      <c r="G23">
        <v>8.0</v>
      </c>
      <c r="H23">
        <v>92.0</v>
      </c>
      <c r="I23">
        <v>0.0</v>
      </c>
      <c r="J23">
        <v>0.0</v>
      </c>
      <c r="K23" t="s">
        <v>353</v>
      </c>
      <c r="L23">
        <v>3174.0</v>
      </c>
      <c r="M23">
        <v>2017.0</v>
      </c>
      <c r="N23" s="1">
        <f t="shared" si="0"/>
        <v>0.364524259609326</v>
      </c>
      <c r="O23" s="1">
        <f t="shared" si="1"/>
        <v>0.6354757403906742</v>
      </c>
    </row>
    <row r="24" spans="8:8">
      <c r="A24" t="s">
        <v>35</v>
      </c>
      <c r="B24" t="s">
        <v>183</v>
      </c>
      <c r="C24" t="s">
        <v>285</v>
      </c>
      <c r="D24">
        <v>2.75</v>
      </c>
      <c r="E24">
        <v>1.62</v>
      </c>
      <c r="F24">
        <v>6.02</v>
      </c>
      <c r="G24">
        <v>10.0</v>
      </c>
      <c r="H24">
        <v>90.0</v>
      </c>
      <c r="I24">
        <v>0.0</v>
      </c>
      <c r="J24">
        <v>0.0</v>
      </c>
      <c r="K24" t="s">
        <v>353</v>
      </c>
      <c r="L24">
        <v>3174.0</v>
      </c>
      <c r="M24">
        <v>1071.0</v>
      </c>
      <c r="N24" s="1">
        <f t="shared" si="0"/>
        <v>0.6625708884688091</v>
      </c>
      <c r="O24" s="1">
        <f t="shared" si="1"/>
        <v>0.33742911153119093</v>
      </c>
    </row>
    <row r="25" spans="8:8">
      <c r="A25" t="s">
        <v>36</v>
      </c>
      <c r="B25" t="s">
        <v>170</v>
      </c>
      <c r="C25" t="s">
        <v>277</v>
      </c>
      <c r="D25">
        <v>4.43</v>
      </c>
      <c r="E25">
        <v>2.33</v>
      </c>
      <c r="F25">
        <v>9.79</v>
      </c>
      <c r="G25">
        <v>20.0</v>
      </c>
      <c r="H25">
        <v>80.0</v>
      </c>
      <c r="I25">
        <v>0.0</v>
      </c>
      <c r="J25">
        <v>0.0</v>
      </c>
      <c r="K25" t="s">
        <v>356</v>
      </c>
      <c r="L25">
        <v>1140.0</v>
      </c>
      <c r="M25">
        <v>301.0</v>
      </c>
      <c r="N25" s="1">
        <f t="shared" si="0"/>
        <v>0.7359649122807019</v>
      </c>
      <c r="O25" s="1">
        <f t="shared" si="1"/>
        <v>0.26403508771929823</v>
      </c>
    </row>
    <row r="26" spans="8:8">
      <c r="A26" t="s">
        <v>37</v>
      </c>
      <c r="B26" t="s">
        <v>184</v>
      </c>
      <c r="C26" t="s">
        <v>286</v>
      </c>
      <c r="D26">
        <v>7.51</v>
      </c>
      <c r="E26">
        <v>3.02</v>
      </c>
      <c r="F26">
        <v>16.9</v>
      </c>
      <c r="G26">
        <v>30.0</v>
      </c>
      <c r="H26">
        <v>70.0</v>
      </c>
      <c r="I26">
        <v>0.0</v>
      </c>
      <c r="J26">
        <v>0.0</v>
      </c>
      <c r="K26" t="s">
        <v>356</v>
      </c>
      <c r="L26">
        <v>1140.0</v>
      </c>
      <c r="M26">
        <v>176.0</v>
      </c>
      <c r="N26" s="1">
        <f t="shared" si="0"/>
        <v>0.845614035087719</v>
      </c>
      <c r="O26" s="1">
        <f t="shared" si="1"/>
        <v>0.1543859649122807</v>
      </c>
    </row>
    <row r="27" spans="8:8">
      <c r="A27" t="s">
        <v>38</v>
      </c>
      <c r="B27" t="s">
        <v>185</v>
      </c>
      <c r="C27" t="s">
        <v>287</v>
      </c>
      <c r="D27">
        <v>11.12</v>
      </c>
      <c r="E27">
        <v>4.37</v>
      </c>
      <c r="F27">
        <v>25.5</v>
      </c>
      <c r="G27">
        <v>50.0</v>
      </c>
      <c r="H27">
        <v>50.0</v>
      </c>
      <c r="I27">
        <v>0.0</v>
      </c>
      <c r="J27">
        <v>0.0</v>
      </c>
      <c r="K27" t="s">
        <v>358</v>
      </c>
      <c r="L27">
        <v>8117.0</v>
      </c>
      <c r="M27">
        <v>3500.0</v>
      </c>
      <c r="N27" s="1">
        <f t="shared" si="0"/>
        <v>0.568806209190588</v>
      </c>
      <c r="O27" s="1">
        <f t="shared" si="1"/>
        <v>0.43119379080941234</v>
      </c>
    </row>
    <row r="28" spans="8:8">
      <c r="A28" t="s">
        <v>39</v>
      </c>
      <c r="B28" t="s">
        <v>169</v>
      </c>
      <c r="C28" t="s">
        <v>276</v>
      </c>
      <c r="D28">
        <v>34.22</v>
      </c>
      <c r="E28">
        <v>6.94</v>
      </c>
      <c r="F28">
        <v>88.56</v>
      </c>
      <c r="G28">
        <v>90.0</v>
      </c>
      <c r="H28">
        <v>10.0</v>
      </c>
      <c r="I28">
        <v>0.0</v>
      </c>
      <c r="J28">
        <v>0.0</v>
      </c>
      <c r="K28" t="s">
        <v>354</v>
      </c>
      <c r="L28">
        <v>4428.0</v>
      </c>
      <c r="M28">
        <v>844.0</v>
      </c>
      <c r="N28" s="1">
        <f t="shared" si="0"/>
        <v>0.8093947606142731</v>
      </c>
      <c r="O28" s="1">
        <f t="shared" si="1"/>
        <v>0.19060523938572718</v>
      </c>
    </row>
    <row r="29" spans="8:8">
      <c r="A29" t="s">
        <v>40</v>
      </c>
      <c r="B29" t="s">
        <v>171</v>
      </c>
      <c r="C29" t="s">
        <v>275</v>
      </c>
      <c r="D29">
        <v>1.23</v>
      </c>
      <c r="E29">
        <v>0.54</v>
      </c>
      <c r="F29">
        <v>2.66</v>
      </c>
      <c r="G29">
        <v>0.0</v>
      </c>
      <c r="H29">
        <v>0.0</v>
      </c>
      <c r="I29">
        <v>100.0</v>
      </c>
      <c r="J29">
        <v>0.0</v>
      </c>
      <c r="K29" t="s">
        <v>355</v>
      </c>
      <c r="L29">
        <v>542.0</v>
      </c>
      <c r="M29">
        <v>1.0</v>
      </c>
      <c r="N29" s="1">
        <f t="shared" si="0"/>
        <v>0.9981549815498155</v>
      </c>
      <c r="O29" s="1">
        <f t="shared" si="1"/>
        <v>0.0018450184501845018</v>
      </c>
    </row>
    <row r="30" spans="8:8">
      <c r="A30" t="s">
        <v>41</v>
      </c>
      <c r="B30" t="s">
        <v>168</v>
      </c>
      <c r="C30" t="s">
        <v>273</v>
      </c>
      <c r="D30">
        <v>20.73</v>
      </c>
      <c r="E30">
        <v>7.24</v>
      </c>
      <c r="F30">
        <v>50.08</v>
      </c>
      <c r="G30">
        <v>95.0</v>
      </c>
      <c r="H30">
        <v>5.0</v>
      </c>
      <c r="I30">
        <v>0.0</v>
      </c>
      <c r="J30">
        <v>0.0</v>
      </c>
      <c r="K30" t="s">
        <v>354</v>
      </c>
      <c r="L30">
        <v>4428.0</v>
      </c>
      <c r="M30">
        <v>1244.0</v>
      </c>
      <c r="N30" s="1">
        <f t="shared" si="0"/>
        <v>0.719060523938573</v>
      </c>
      <c r="O30" s="1">
        <f t="shared" si="1"/>
        <v>0.2809394760614273</v>
      </c>
    </row>
    <row r="31" spans="8:8">
      <c r="A31" t="s">
        <v>42</v>
      </c>
      <c r="B31" t="s">
        <v>186</v>
      </c>
      <c r="C31" t="s">
        <v>288</v>
      </c>
      <c r="D31">
        <v>1.26</v>
      </c>
      <c r="E31">
        <v>1.41</v>
      </c>
      <c r="F31">
        <v>2.74</v>
      </c>
      <c r="G31">
        <v>7.0</v>
      </c>
      <c r="H31">
        <v>93.0</v>
      </c>
      <c r="I31">
        <v>0.0</v>
      </c>
      <c r="J31">
        <v>0.0</v>
      </c>
      <c r="K31" t="s">
        <v>353</v>
      </c>
      <c r="L31">
        <v>3174.0</v>
      </c>
      <c r="M31">
        <v>1909.0</v>
      </c>
      <c r="N31" s="1">
        <f t="shared" si="0"/>
        <v>0.39855072463768104</v>
      </c>
      <c r="O31" s="1">
        <f t="shared" si="1"/>
        <v>0.6014492753623188</v>
      </c>
    </row>
    <row r="32" spans="8:8">
      <c r="A32" t="s">
        <v>43</v>
      </c>
      <c r="B32" t="s">
        <v>187</v>
      </c>
      <c r="C32" t="s">
        <v>287</v>
      </c>
      <c r="D32">
        <v>8.46</v>
      </c>
      <c r="E32">
        <v>4.37</v>
      </c>
      <c r="F32">
        <v>19.12</v>
      </c>
      <c r="G32">
        <v>50.0</v>
      </c>
      <c r="H32">
        <v>50.0</v>
      </c>
      <c r="I32">
        <v>0.0</v>
      </c>
      <c r="J32">
        <v>0.0</v>
      </c>
      <c r="K32" t="s">
        <v>358</v>
      </c>
      <c r="L32">
        <v>8117.0</v>
      </c>
      <c r="M32">
        <v>3812.0</v>
      </c>
      <c r="N32" s="1">
        <f t="shared" si="0"/>
        <v>0.5303683626955771</v>
      </c>
      <c r="O32" s="1">
        <f t="shared" si="1"/>
        <v>0.4696316373044228</v>
      </c>
    </row>
    <row r="33" spans="8:8">
      <c r="A33" t="s">
        <v>44</v>
      </c>
      <c r="B33" t="s">
        <v>188</v>
      </c>
      <c r="C33" t="s">
        <v>289</v>
      </c>
      <c r="D33">
        <v>1.71</v>
      </c>
      <c r="E33">
        <v>1.98</v>
      </c>
      <c r="F33">
        <v>3.73</v>
      </c>
      <c r="G33">
        <v>15.0</v>
      </c>
      <c r="H33">
        <v>85.0</v>
      </c>
      <c r="I33">
        <v>0.0</v>
      </c>
      <c r="J33">
        <v>0.0</v>
      </c>
      <c r="K33" t="s">
        <v>356</v>
      </c>
      <c r="L33">
        <v>1140.0</v>
      </c>
      <c r="M33">
        <v>609.0</v>
      </c>
      <c r="N33" s="1">
        <f t="shared" si="0"/>
        <v>0.46578947368421</v>
      </c>
      <c r="O33" s="1">
        <f t="shared" si="1"/>
        <v>0.5342105263157895</v>
      </c>
    </row>
    <row r="34" spans="8:8">
      <c r="A34" t="s">
        <v>45</v>
      </c>
      <c r="B34" t="s">
        <v>189</v>
      </c>
      <c r="C34" t="s">
        <v>290</v>
      </c>
      <c r="D34">
        <v>3.11</v>
      </c>
      <c r="E34">
        <v>2.67</v>
      </c>
      <c r="F34">
        <v>6.82</v>
      </c>
      <c r="G34">
        <v>25.0</v>
      </c>
      <c r="H34">
        <v>75.0</v>
      </c>
      <c r="I34">
        <v>0.0</v>
      </c>
      <c r="J34">
        <v>0.0</v>
      </c>
      <c r="K34" t="s">
        <v>356</v>
      </c>
      <c r="L34">
        <v>1140.0</v>
      </c>
      <c r="M34">
        <v>432.0</v>
      </c>
      <c r="N34" s="1">
        <f t="shared" si="0"/>
        <v>0.6210526315789471</v>
      </c>
      <c r="O34" s="1">
        <f t="shared" si="1"/>
        <v>0.37894736842105264</v>
      </c>
    </row>
    <row r="35" spans="8:8">
      <c r="A35" t="s">
        <v>46</v>
      </c>
      <c r="B35" t="s">
        <v>190</v>
      </c>
      <c r="C35" t="s">
        <v>291</v>
      </c>
      <c r="D35">
        <v>5.68</v>
      </c>
      <c r="E35">
        <v>3.53</v>
      </c>
      <c r="F35">
        <v>12.64</v>
      </c>
      <c r="G35">
        <v>37.5</v>
      </c>
      <c r="H35">
        <v>62.5</v>
      </c>
      <c r="I35">
        <v>0.0</v>
      </c>
      <c r="J35">
        <v>0.0</v>
      </c>
      <c r="K35" t="s">
        <v>358</v>
      </c>
      <c r="L35">
        <v>8117.0</v>
      </c>
      <c r="M35">
        <v>4185.0</v>
      </c>
      <c r="N35" s="1">
        <f t="shared" si="0"/>
        <v>0.484415424417888</v>
      </c>
      <c r="O35" s="1">
        <f t="shared" si="1"/>
        <v>0.5155845755821116</v>
      </c>
    </row>
    <row r="36" spans="8:8">
      <c r="A36" t="s">
        <v>47</v>
      </c>
      <c r="B36" t="s">
        <v>191</v>
      </c>
      <c r="C36" t="s">
        <v>292</v>
      </c>
      <c r="D36">
        <v>7.68</v>
      </c>
      <c r="E36">
        <v>4.34</v>
      </c>
      <c r="F36">
        <v>17.28</v>
      </c>
      <c r="G36">
        <v>49.5</v>
      </c>
      <c r="H36">
        <v>50.5</v>
      </c>
      <c r="I36">
        <v>0.0</v>
      </c>
      <c r="J36">
        <v>0.0</v>
      </c>
      <c r="K36" t="s">
        <v>358</v>
      </c>
      <c r="L36">
        <v>8117.0</v>
      </c>
      <c r="M36">
        <v>3918.0</v>
      </c>
      <c r="N36" s="1">
        <f t="shared" si="0"/>
        <v>0.517309350745349</v>
      </c>
      <c r="O36" s="1">
        <f t="shared" si="1"/>
        <v>0.4826906492546507</v>
      </c>
    </row>
    <row r="37" spans="8:8">
      <c r="A37" t="s">
        <v>48</v>
      </c>
      <c r="B37" t="s">
        <v>192</v>
      </c>
      <c r="C37" t="s">
        <v>293</v>
      </c>
      <c r="D37">
        <v>9.37</v>
      </c>
      <c r="E37">
        <v>4.96</v>
      </c>
      <c r="F37">
        <v>21.3</v>
      </c>
      <c r="G37">
        <v>59.0</v>
      </c>
      <c r="H37">
        <v>41.0</v>
      </c>
      <c r="I37">
        <v>0.0</v>
      </c>
      <c r="J37">
        <v>0.0</v>
      </c>
      <c r="K37" t="s">
        <v>359</v>
      </c>
      <c r="L37">
        <v>4691.0</v>
      </c>
      <c r="M37">
        <v>2519.0</v>
      </c>
      <c r="N37" s="1">
        <f t="shared" si="0"/>
        <v>0.46301428266893996</v>
      </c>
      <c r="O37" s="1">
        <f t="shared" si="1"/>
        <v>0.5369857173310595</v>
      </c>
    </row>
    <row r="38" spans="8:8">
      <c r="A38" t="s">
        <v>49</v>
      </c>
      <c r="B38" t="s">
        <v>193</v>
      </c>
      <c r="C38" t="s">
        <v>275</v>
      </c>
      <c r="D38">
        <v>0.69</v>
      </c>
      <c r="E38">
        <v>0.54</v>
      </c>
      <c r="F38">
        <v>1.39</v>
      </c>
      <c r="G38">
        <v>0.0</v>
      </c>
      <c r="H38">
        <v>0.0</v>
      </c>
      <c r="I38">
        <v>100.0</v>
      </c>
      <c r="J38">
        <v>0.0</v>
      </c>
      <c r="K38" t="s">
        <v>355</v>
      </c>
      <c r="L38">
        <v>542.0</v>
      </c>
      <c r="M38">
        <v>17.0</v>
      </c>
      <c r="N38" s="1">
        <f t="shared" si="0"/>
        <v>0.9686346863468634</v>
      </c>
      <c r="O38" s="1">
        <f t="shared" si="1"/>
        <v>0.03136531365313653</v>
      </c>
    </row>
    <row r="39" spans="8:8">
      <c r="A39" t="s">
        <v>50</v>
      </c>
      <c r="B39" t="s">
        <v>194</v>
      </c>
      <c r="C39" t="s">
        <v>285</v>
      </c>
      <c r="D39">
        <v>1.82</v>
      </c>
      <c r="E39">
        <v>1.62</v>
      </c>
      <c r="F39">
        <v>3.97</v>
      </c>
      <c r="G39">
        <v>10.0</v>
      </c>
      <c r="H39">
        <v>90.0</v>
      </c>
      <c r="I39">
        <v>0.0</v>
      </c>
      <c r="J39">
        <v>0.0</v>
      </c>
      <c r="K39" t="s">
        <v>353</v>
      </c>
      <c r="L39">
        <v>3174.0</v>
      </c>
      <c r="M39">
        <v>1507.0</v>
      </c>
      <c r="N39" s="1">
        <f t="shared" si="0"/>
        <v>0.525204788909893</v>
      </c>
      <c r="O39" s="1">
        <f t="shared" si="1"/>
        <v>0.47479521109010714</v>
      </c>
    </row>
    <row r="40" spans="8:8">
      <c r="A40" t="s">
        <v>51</v>
      </c>
      <c r="B40" t="s">
        <v>195</v>
      </c>
      <c r="C40" t="s">
        <v>273</v>
      </c>
      <c r="D40">
        <v>-2.78</v>
      </c>
      <c r="E40">
        <v>7.24</v>
      </c>
      <c r="F40">
        <v>-5.9</v>
      </c>
      <c r="G40">
        <v>95.0</v>
      </c>
      <c r="H40">
        <v>5.0</v>
      </c>
      <c r="I40">
        <v>0.0</v>
      </c>
      <c r="J40">
        <v>0.0</v>
      </c>
      <c r="K40" t="s">
        <v>354</v>
      </c>
      <c r="L40">
        <v>4428.0</v>
      </c>
      <c r="M40">
        <v>3037.0</v>
      </c>
      <c r="N40" s="1">
        <f t="shared" si="0"/>
        <v>0.31413730803974704</v>
      </c>
      <c r="O40" s="1">
        <f t="shared" si="1"/>
        <v>0.685862691960253</v>
      </c>
    </row>
    <row r="41" spans="8:8">
      <c r="A41" t="s">
        <v>52</v>
      </c>
      <c r="B41" t="s">
        <v>196</v>
      </c>
      <c r="C41" t="s">
        <v>273</v>
      </c>
      <c r="D41">
        <v>6.08</v>
      </c>
      <c r="E41">
        <v>7.24</v>
      </c>
      <c r="F41">
        <v>13.56</v>
      </c>
      <c r="G41">
        <v>95.0</v>
      </c>
      <c r="H41">
        <v>5.0</v>
      </c>
      <c r="I41">
        <v>0.0</v>
      </c>
      <c r="J41">
        <v>0.0</v>
      </c>
      <c r="K41" t="s">
        <v>354</v>
      </c>
      <c r="L41">
        <v>4428.0</v>
      </c>
      <c r="M41">
        <v>2467.0</v>
      </c>
      <c r="N41" s="1">
        <f t="shared" si="0"/>
        <v>0.44286359530262</v>
      </c>
      <c r="O41" s="1">
        <f t="shared" si="1"/>
        <v>0.5571364046973803</v>
      </c>
    </row>
    <row r="42" spans="8:8">
      <c r="A42" t="s">
        <v>53</v>
      </c>
      <c r="B42" t="s">
        <v>173</v>
      </c>
      <c r="C42" t="s">
        <v>279</v>
      </c>
      <c r="D42">
        <v>2.23</v>
      </c>
      <c r="E42">
        <v>1.52</v>
      </c>
      <c r="F42">
        <v>4.87</v>
      </c>
      <c r="G42">
        <v>17.0</v>
      </c>
      <c r="H42">
        <v>80.0</v>
      </c>
      <c r="I42">
        <v>0.0</v>
      </c>
      <c r="J42">
        <v>3.0</v>
      </c>
      <c r="K42" t="s">
        <v>356</v>
      </c>
      <c r="L42">
        <v>1140.0</v>
      </c>
      <c r="M42">
        <v>526.0</v>
      </c>
      <c r="N42" s="1">
        <f t="shared" si="0"/>
        <v>0.5385964912280701</v>
      </c>
      <c r="O42" s="1">
        <f t="shared" si="1"/>
        <v>0.4614035087719298</v>
      </c>
    </row>
    <row r="43" spans="8:8">
      <c r="A43" t="s">
        <v>54</v>
      </c>
      <c r="B43" t="s">
        <v>197</v>
      </c>
      <c r="C43" t="s">
        <v>294</v>
      </c>
      <c r="D43">
        <v>10.16</v>
      </c>
      <c r="E43">
        <v>4.38</v>
      </c>
      <c r="F43">
        <v>23.19</v>
      </c>
      <c r="G43">
        <v>80.0</v>
      </c>
      <c r="H43">
        <v>15.0</v>
      </c>
      <c r="I43">
        <v>0.0</v>
      </c>
      <c r="J43">
        <v>5.0</v>
      </c>
      <c r="K43" t="s">
        <v>354</v>
      </c>
      <c r="L43">
        <v>4428.0</v>
      </c>
      <c r="M43">
        <v>2056.0</v>
      </c>
      <c r="N43" s="1">
        <f t="shared" si="0"/>
        <v>0.5356820234869011</v>
      </c>
      <c r="O43" s="1">
        <f t="shared" si="1"/>
        <v>0.4643179765130985</v>
      </c>
    </row>
    <row r="44" spans="8:8">
      <c r="A44" t="s">
        <v>55</v>
      </c>
      <c r="B44" t="s">
        <v>198</v>
      </c>
      <c r="C44" t="s">
        <v>295</v>
      </c>
      <c r="D44">
        <v>6.97</v>
      </c>
      <c r="E44">
        <v>3.47</v>
      </c>
      <c r="F44">
        <v>15.62</v>
      </c>
      <c r="G44">
        <v>95.0</v>
      </c>
      <c r="H44">
        <v>5.0</v>
      </c>
      <c r="I44">
        <v>0.0</v>
      </c>
      <c r="J44">
        <v>0.0</v>
      </c>
      <c r="K44" t="s">
        <v>354</v>
      </c>
      <c r="L44">
        <v>4428.0</v>
      </c>
      <c r="M44">
        <v>2433.0</v>
      </c>
      <c r="N44" s="1">
        <f t="shared" si="0"/>
        <v>0.45054200542005396</v>
      </c>
      <c r="O44" s="1">
        <f t="shared" si="1"/>
        <v>0.5494579945799458</v>
      </c>
    </row>
    <row r="45" spans="8:8">
      <c r="A45" t="s">
        <v>56</v>
      </c>
      <c r="B45" t="s">
        <v>199</v>
      </c>
      <c r="C45" t="s">
        <v>296</v>
      </c>
      <c r="D45">
        <v>3.11</v>
      </c>
      <c r="E45">
        <v>0.75</v>
      </c>
      <c r="F45">
        <v>6.81</v>
      </c>
      <c r="G45">
        <v>8.0</v>
      </c>
      <c r="H45">
        <v>85.0</v>
      </c>
      <c r="I45">
        <v>0.0</v>
      </c>
      <c r="J45">
        <v>7.0</v>
      </c>
      <c r="K45" t="s">
        <v>353</v>
      </c>
      <c r="L45">
        <v>3174.0</v>
      </c>
      <c r="M45">
        <v>965.0</v>
      </c>
      <c r="N45" s="1">
        <f t="shared" si="0"/>
        <v>0.6959672337744169</v>
      </c>
      <c r="O45" s="1">
        <f t="shared" si="1"/>
        <v>0.30403276622558284</v>
      </c>
    </row>
    <row r="46" spans="8:8">
      <c r="A46" t="s">
        <v>57</v>
      </c>
      <c r="B46" t="s">
        <v>200</v>
      </c>
      <c r="C46" t="s">
        <v>278</v>
      </c>
      <c r="D46">
        <v>0.98</v>
      </c>
      <c r="E46">
        <v>0.91</v>
      </c>
      <c r="F46">
        <v>2.13</v>
      </c>
      <c r="G46">
        <v>0.0</v>
      </c>
      <c r="H46">
        <v>100.0</v>
      </c>
      <c r="I46">
        <v>0.0</v>
      </c>
      <c r="J46">
        <v>0.0</v>
      </c>
      <c r="K46" t="s">
        <v>357</v>
      </c>
      <c r="L46">
        <v>2615.0</v>
      </c>
      <c r="M46">
        <v>1917.0</v>
      </c>
      <c r="N46" s="1">
        <f t="shared" si="0"/>
        <v>0.266921606118547</v>
      </c>
      <c r="O46" s="1">
        <f t="shared" si="1"/>
        <v>0.7330783938814531</v>
      </c>
    </row>
    <row r="47" spans="8:8">
      <c r="A47" t="s">
        <v>58</v>
      </c>
      <c r="B47" t="s">
        <v>201</v>
      </c>
      <c r="C47" t="s">
        <v>297</v>
      </c>
      <c r="D47">
        <v>-9.53</v>
      </c>
      <c r="E47">
        <v>-8.54</v>
      </c>
      <c r="F47">
        <v>-19.4</v>
      </c>
      <c r="G47">
        <v>0.0</v>
      </c>
      <c r="H47">
        <v>0.0</v>
      </c>
      <c r="I47">
        <v>10.0</v>
      </c>
      <c r="J47">
        <v>90.0</v>
      </c>
      <c r="K47" t="s">
        <v>360</v>
      </c>
      <c r="L47">
        <v>46.0</v>
      </c>
      <c r="M47">
        <v>12.0</v>
      </c>
      <c r="N47" s="1">
        <f t="shared" si="0"/>
        <v>0.739130434782609</v>
      </c>
      <c r="O47" s="1">
        <f t="shared" si="1"/>
        <v>0.2608695652173913</v>
      </c>
    </row>
    <row r="48" spans="8:8">
      <c r="A48" t="s">
        <v>59</v>
      </c>
      <c r="B48" t="s">
        <v>202</v>
      </c>
      <c r="C48" t="s">
        <v>273</v>
      </c>
      <c r="D48">
        <v>20.4</v>
      </c>
      <c r="E48">
        <v>7.24</v>
      </c>
      <c r="F48">
        <v>49.19</v>
      </c>
      <c r="G48">
        <v>95.0</v>
      </c>
      <c r="H48">
        <v>5.0</v>
      </c>
      <c r="I48">
        <v>0.0</v>
      </c>
      <c r="J48">
        <v>0.0</v>
      </c>
      <c r="K48" t="s">
        <v>354</v>
      </c>
      <c r="L48">
        <v>4428.0</v>
      </c>
      <c r="M48">
        <v>1265.0</v>
      </c>
      <c r="N48" s="1">
        <f t="shared" si="0"/>
        <v>0.714317976513098</v>
      </c>
      <c r="O48" s="1">
        <f t="shared" si="1"/>
        <v>0.2856820234869015</v>
      </c>
    </row>
    <row r="49" spans="8:8">
      <c r="A49" t="s">
        <v>60</v>
      </c>
      <c r="B49" t="s">
        <v>203</v>
      </c>
      <c r="C49" t="s">
        <v>295</v>
      </c>
      <c r="D49">
        <v>20.8</v>
      </c>
      <c r="E49">
        <v>3.47</v>
      </c>
      <c r="F49">
        <v>50.27</v>
      </c>
      <c r="G49">
        <v>95.0</v>
      </c>
      <c r="H49">
        <v>5.0</v>
      </c>
      <c r="I49">
        <v>0.0</v>
      </c>
      <c r="J49">
        <v>0.0</v>
      </c>
      <c r="K49" t="s">
        <v>354</v>
      </c>
      <c r="L49">
        <v>4428.0</v>
      </c>
      <c r="M49">
        <v>1237.0</v>
      </c>
      <c r="N49" s="1">
        <f t="shared" si="0"/>
        <v>0.720641373080397</v>
      </c>
      <c r="O49" s="1">
        <f t="shared" si="1"/>
        <v>0.2793586269196025</v>
      </c>
    </row>
    <row r="50" spans="8:8">
      <c r="A50" t="s">
        <v>61</v>
      </c>
      <c r="B50" t="s">
        <v>204</v>
      </c>
      <c r="C50" t="s">
        <v>298</v>
      </c>
      <c r="D50">
        <v>-12.42</v>
      </c>
      <c r="E50">
        <v>-10.14</v>
      </c>
      <c r="F50">
        <v>-24.86</v>
      </c>
      <c r="G50">
        <v>95.0</v>
      </c>
      <c r="H50">
        <v>5.0</v>
      </c>
      <c r="I50">
        <v>0.0</v>
      </c>
      <c r="J50">
        <v>0.0</v>
      </c>
      <c r="K50" t="s">
        <v>354</v>
      </c>
      <c r="L50">
        <v>4428.0</v>
      </c>
      <c r="M50">
        <v>3857.0</v>
      </c>
      <c r="N50" s="1">
        <f t="shared" si="0"/>
        <v>0.12895212285456203</v>
      </c>
      <c r="O50" s="1">
        <f t="shared" si="1"/>
        <v>0.8710478771454381</v>
      </c>
    </row>
    <row r="51" spans="8:8">
      <c r="A51" t="s">
        <v>62</v>
      </c>
      <c r="B51" t="s">
        <v>205</v>
      </c>
      <c r="C51" t="s">
        <v>299</v>
      </c>
      <c r="D51">
        <v>13.49</v>
      </c>
      <c r="E51">
        <v>19.95</v>
      </c>
      <c r="F51">
        <v>31.35</v>
      </c>
      <c r="G51">
        <v>95.0</v>
      </c>
      <c r="H51">
        <v>0.0</v>
      </c>
      <c r="I51">
        <v>5.0</v>
      </c>
      <c r="J51">
        <v>0.0</v>
      </c>
      <c r="K51" t="s">
        <v>354</v>
      </c>
      <c r="L51">
        <v>4428.0</v>
      </c>
      <c r="M51">
        <v>1694.0</v>
      </c>
      <c r="N51" s="1">
        <f t="shared" si="0"/>
        <v>0.61743450767841</v>
      </c>
      <c r="O51" s="1">
        <f t="shared" si="1"/>
        <v>0.3825654923215899</v>
      </c>
    </row>
    <row r="52" spans="8:8">
      <c r="A52" t="s">
        <v>63</v>
      </c>
      <c r="B52" t="s">
        <v>206</v>
      </c>
      <c r="C52" t="s">
        <v>300</v>
      </c>
      <c r="D52">
        <v>-7.91</v>
      </c>
      <c r="E52">
        <v>-8.26</v>
      </c>
      <c r="F52">
        <v>-16.27</v>
      </c>
      <c r="G52">
        <v>95.0</v>
      </c>
      <c r="H52">
        <v>5.0</v>
      </c>
      <c r="I52">
        <v>0.0</v>
      </c>
      <c r="J52">
        <v>0.0</v>
      </c>
      <c r="K52" t="s">
        <v>354</v>
      </c>
      <c r="L52">
        <v>4428.0</v>
      </c>
      <c r="M52">
        <v>3410.0</v>
      </c>
      <c r="N52" s="1">
        <f t="shared" si="0"/>
        <v>0.22990063233965696</v>
      </c>
      <c r="O52" s="1">
        <f t="shared" si="1"/>
        <v>0.7700993676603433</v>
      </c>
    </row>
    <row r="53" spans="8:8">
      <c r="A53" t="s">
        <v>64</v>
      </c>
      <c r="B53" t="s">
        <v>207</v>
      </c>
      <c r="C53" t="s">
        <v>301</v>
      </c>
      <c r="D53">
        <v>-1.39</v>
      </c>
      <c r="E53">
        <v>0.17</v>
      </c>
      <c r="F53">
        <v>-2.97</v>
      </c>
      <c r="G53">
        <v>0.0</v>
      </c>
      <c r="H53">
        <v>100.0</v>
      </c>
      <c r="I53">
        <v>0.0</v>
      </c>
      <c r="J53">
        <v>0.0</v>
      </c>
      <c r="K53" t="s">
        <v>357</v>
      </c>
      <c r="L53">
        <v>2615.0</v>
      </c>
      <c r="M53">
        <v>2616.0</v>
      </c>
      <c r="N53" s="1">
        <f t="shared" si="0"/>
        <v>-3.8240917781995343E-4</v>
      </c>
      <c r="O53" s="1">
        <f t="shared" si="1"/>
        <v>1.0003824091778202</v>
      </c>
    </row>
    <row r="54" spans="8:8">
      <c r="A54" t="s">
        <v>65</v>
      </c>
      <c r="B54" t="s">
        <v>208</v>
      </c>
      <c r="C54" t="s">
        <v>274</v>
      </c>
      <c r="D54">
        <v>1.57</v>
      </c>
      <c r="E54">
        <v>1.27</v>
      </c>
      <c r="F54">
        <v>3.42</v>
      </c>
      <c r="G54">
        <v>5.0</v>
      </c>
      <c r="H54">
        <v>95.0</v>
      </c>
      <c r="I54">
        <v>0.0</v>
      </c>
      <c r="J54">
        <v>0.0</v>
      </c>
      <c r="K54" t="s">
        <v>353</v>
      </c>
      <c r="L54">
        <v>3174.0</v>
      </c>
      <c r="M54">
        <v>1666.0</v>
      </c>
      <c r="N54" s="1">
        <f t="shared" si="0"/>
        <v>0.47511027095148095</v>
      </c>
      <c r="O54" s="1">
        <f t="shared" si="1"/>
        <v>0.5248897290485193</v>
      </c>
    </row>
    <row r="55" spans="8:8">
      <c r="A55" t="s">
        <v>66</v>
      </c>
      <c r="B55" t="s">
        <v>209</v>
      </c>
      <c r="C55" t="s">
        <v>302</v>
      </c>
      <c r="D55">
        <v>2.67</v>
      </c>
      <c r="E55">
        <v>2.18</v>
      </c>
      <c r="F55">
        <v>5.84</v>
      </c>
      <c r="G55">
        <v>25.0</v>
      </c>
      <c r="H55">
        <v>70.0</v>
      </c>
      <c r="I55">
        <v>0.0</v>
      </c>
      <c r="J55">
        <v>5.0</v>
      </c>
      <c r="K55" t="s">
        <v>356</v>
      </c>
      <c r="L55">
        <v>1140.0</v>
      </c>
      <c r="M55">
        <v>484.0</v>
      </c>
      <c r="N55" s="1">
        <f t="shared" si="0"/>
        <v>0.5754385964912281</v>
      </c>
      <c r="O55" s="1">
        <f t="shared" si="1"/>
        <v>0.4245614035087719</v>
      </c>
    </row>
    <row r="56" spans="8:8">
      <c r="A56" t="s">
        <v>67</v>
      </c>
      <c r="B56" t="s">
        <v>210</v>
      </c>
      <c r="C56" t="s">
        <v>303</v>
      </c>
      <c r="D56">
        <v>1.72</v>
      </c>
      <c r="E56">
        <v>1.35</v>
      </c>
      <c r="F56">
        <v>3.74</v>
      </c>
      <c r="G56">
        <v>10.0</v>
      </c>
      <c r="H56">
        <v>87.0</v>
      </c>
      <c r="I56">
        <v>0.0</v>
      </c>
      <c r="J56">
        <v>3.0</v>
      </c>
      <c r="K56" t="s">
        <v>353</v>
      </c>
      <c r="L56">
        <v>3174.0</v>
      </c>
      <c r="M56">
        <v>1573.0</v>
      </c>
      <c r="N56" s="1">
        <f t="shared" si="0"/>
        <v>0.5044108380592309</v>
      </c>
      <c r="O56" s="1">
        <f t="shared" si="1"/>
        <v>0.49558916194076874</v>
      </c>
    </row>
    <row r="57" spans="8:8">
      <c r="A57" t="s">
        <v>68</v>
      </c>
      <c r="B57" t="s">
        <v>211</v>
      </c>
      <c r="C57" t="s">
        <v>304</v>
      </c>
      <c r="D57">
        <v>17.98</v>
      </c>
      <c r="E57">
        <v>10.63</v>
      </c>
      <c r="F57">
        <v>42.82</v>
      </c>
      <c r="G57">
        <v>95.0</v>
      </c>
      <c r="H57">
        <v>5.0</v>
      </c>
      <c r="I57">
        <v>0.0</v>
      </c>
      <c r="J57">
        <v>0.0</v>
      </c>
      <c r="K57" t="s">
        <v>354</v>
      </c>
      <c r="L57">
        <v>4428.0</v>
      </c>
      <c r="M57">
        <v>1422.0</v>
      </c>
      <c r="N57" s="1">
        <f t="shared" si="0"/>
        <v>0.678861788617886</v>
      </c>
      <c r="O57" s="1">
        <f t="shared" si="1"/>
        <v>0.32113821138211385</v>
      </c>
    </row>
    <row r="58" spans="8:8">
      <c r="A58" t="s">
        <v>69</v>
      </c>
      <c r="B58" t="s">
        <v>212</v>
      </c>
      <c r="C58" t="s">
        <v>272</v>
      </c>
      <c r="D58">
        <v>1.41</v>
      </c>
      <c r="E58">
        <v>1.48</v>
      </c>
      <c r="F58">
        <v>3.07</v>
      </c>
      <c r="G58">
        <v>8.0</v>
      </c>
      <c r="H58">
        <v>92.0</v>
      </c>
      <c r="I58">
        <v>0.0</v>
      </c>
      <c r="J58">
        <v>0.0</v>
      </c>
      <c r="K58" t="s">
        <v>353</v>
      </c>
      <c r="L58">
        <v>3174.0</v>
      </c>
      <c r="M58">
        <v>1776.0</v>
      </c>
      <c r="N58" s="1">
        <f t="shared" si="0"/>
        <v>0.44045368620037795</v>
      </c>
      <c r="O58" s="1">
        <f t="shared" si="1"/>
        <v>0.5595463137996219</v>
      </c>
    </row>
    <row r="59" spans="8:8">
      <c r="A59" t="s">
        <v>70</v>
      </c>
      <c r="B59" t="s">
        <v>213</v>
      </c>
      <c r="C59" t="s">
        <v>275</v>
      </c>
      <c r="D59">
        <v>0.69</v>
      </c>
      <c r="E59">
        <v>0.54</v>
      </c>
      <c r="F59">
        <v>1.41</v>
      </c>
      <c r="G59">
        <v>0.0</v>
      </c>
      <c r="H59">
        <v>0.0</v>
      </c>
      <c r="I59">
        <v>100.0</v>
      </c>
      <c r="J59">
        <v>0.0</v>
      </c>
      <c r="K59" t="s">
        <v>355</v>
      </c>
      <c r="L59">
        <v>542.0</v>
      </c>
      <c r="M59">
        <v>17.0</v>
      </c>
      <c r="N59" s="1">
        <f t="shared" si="0"/>
        <v>0.9686346863468634</v>
      </c>
      <c r="O59" s="1">
        <f t="shared" si="1"/>
        <v>0.03136531365313653</v>
      </c>
    </row>
    <row r="60" spans="8:8">
      <c r="A60" t="s">
        <v>71</v>
      </c>
      <c r="B60" t="s">
        <v>214</v>
      </c>
      <c r="C60" t="s">
        <v>274</v>
      </c>
      <c r="D60">
        <v>1.96</v>
      </c>
      <c r="E60">
        <v>1.27</v>
      </c>
      <c r="F60">
        <v>4.28</v>
      </c>
      <c r="G60">
        <v>5.0</v>
      </c>
      <c r="H60">
        <v>95.0</v>
      </c>
      <c r="I60">
        <v>0.0</v>
      </c>
      <c r="J60">
        <v>0.0</v>
      </c>
      <c r="K60" t="s">
        <v>353</v>
      </c>
      <c r="L60">
        <v>3174.0</v>
      </c>
      <c r="M60">
        <v>1417.0</v>
      </c>
      <c r="N60" s="1">
        <f t="shared" si="0"/>
        <v>0.5535601764335221</v>
      </c>
      <c r="O60" s="1">
        <f t="shared" si="1"/>
        <v>0.44643982356647766</v>
      </c>
    </row>
    <row r="61" spans="8:8">
      <c r="A61" t="s">
        <v>72</v>
      </c>
      <c r="B61" t="s">
        <v>215</v>
      </c>
      <c r="C61" t="s">
        <v>274</v>
      </c>
      <c r="D61">
        <v>1.8</v>
      </c>
      <c r="E61">
        <v>1.27</v>
      </c>
      <c r="F61">
        <v>3.91</v>
      </c>
      <c r="G61">
        <v>5.0</v>
      </c>
      <c r="H61">
        <v>95.0</v>
      </c>
      <c r="I61">
        <v>0.0</v>
      </c>
      <c r="J61">
        <v>0.0</v>
      </c>
      <c r="K61" t="s">
        <v>353</v>
      </c>
      <c r="L61">
        <v>3174.0</v>
      </c>
      <c r="M61">
        <v>1518.0</v>
      </c>
      <c r="N61" s="1">
        <f t="shared" si="0"/>
        <v>0.5217391304347829</v>
      </c>
      <c r="O61" s="1">
        <f t="shared" si="1"/>
        <v>0.4782608695652174</v>
      </c>
    </row>
    <row r="62" spans="8:8">
      <c r="A62" t="s">
        <v>73</v>
      </c>
      <c r="B62" t="s">
        <v>216</v>
      </c>
      <c r="C62" t="s">
        <v>283</v>
      </c>
      <c r="D62">
        <v>17.43</v>
      </c>
      <c r="E62">
        <v>10.63</v>
      </c>
      <c r="F62">
        <v>41.39</v>
      </c>
      <c r="G62">
        <v>95.0</v>
      </c>
      <c r="H62">
        <v>5.0</v>
      </c>
      <c r="I62">
        <v>0.0</v>
      </c>
      <c r="J62">
        <v>0.0</v>
      </c>
      <c r="K62" t="s">
        <v>354</v>
      </c>
      <c r="L62">
        <v>4428.0</v>
      </c>
      <c r="M62">
        <v>1465.0</v>
      </c>
      <c r="N62" s="1">
        <f t="shared" si="0"/>
        <v>0.669150858175248</v>
      </c>
      <c r="O62" s="1">
        <f t="shared" si="1"/>
        <v>0.33084914182475156</v>
      </c>
    </row>
    <row r="63" spans="8:8">
      <c r="A63" t="s">
        <v>74</v>
      </c>
      <c r="B63" t="s">
        <v>217</v>
      </c>
      <c r="C63" t="s">
        <v>278</v>
      </c>
      <c r="D63">
        <v>1.32</v>
      </c>
      <c r="E63">
        <v>0.91</v>
      </c>
      <c r="F63">
        <v>2.87</v>
      </c>
      <c r="G63">
        <v>0.0</v>
      </c>
      <c r="H63">
        <v>100.0</v>
      </c>
      <c r="I63">
        <v>0.0</v>
      </c>
      <c r="J63">
        <v>0.0</v>
      </c>
      <c r="K63" t="s">
        <v>357</v>
      </c>
      <c r="L63">
        <v>2615.0</v>
      </c>
      <c r="M63">
        <v>1239.0</v>
      </c>
      <c r="N63" s="1">
        <f t="shared" si="0"/>
        <v>0.526195028680688</v>
      </c>
      <c r="O63" s="1">
        <f t="shared" si="1"/>
        <v>0.47380497131931165</v>
      </c>
    </row>
    <row r="64" spans="8:8">
      <c r="A64" t="s">
        <v>75</v>
      </c>
      <c r="B64" t="s">
        <v>218</v>
      </c>
      <c r="C64" t="s">
        <v>305</v>
      </c>
      <c r="D64">
        <v>2.09</v>
      </c>
      <c r="E64">
        <v>0.76</v>
      </c>
      <c r="F64">
        <v>4.56</v>
      </c>
      <c r="G64">
        <v>5.0</v>
      </c>
      <c r="H64">
        <v>90.0</v>
      </c>
      <c r="I64">
        <v>0.0</v>
      </c>
      <c r="J64">
        <v>5.0</v>
      </c>
      <c r="K64" t="s">
        <v>353</v>
      </c>
      <c r="L64">
        <v>3174.0</v>
      </c>
      <c r="M64">
        <v>1342.0</v>
      </c>
      <c r="N64" s="1">
        <f t="shared" si="0"/>
        <v>0.577189666036547</v>
      </c>
      <c r="O64" s="1">
        <f t="shared" si="1"/>
        <v>0.4228103339634531</v>
      </c>
    </row>
    <row r="65" spans="8:8">
      <c r="A65" t="s">
        <v>76</v>
      </c>
      <c r="B65" t="s">
        <v>219</v>
      </c>
      <c r="C65" t="s">
        <v>306</v>
      </c>
      <c r="D65">
        <v>4.11</v>
      </c>
      <c r="E65">
        <v>0.73</v>
      </c>
      <c r="F65">
        <v>9.06</v>
      </c>
      <c r="G65">
        <v>11.0</v>
      </c>
      <c r="H65">
        <v>80.0</v>
      </c>
      <c r="I65">
        <v>0.0</v>
      </c>
      <c r="J65">
        <v>9.0</v>
      </c>
      <c r="K65" t="s">
        <v>356</v>
      </c>
      <c r="L65">
        <v>1140.0</v>
      </c>
      <c r="M65">
        <v>333.0</v>
      </c>
      <c r="N65" s="1">
        <f t="shared" si="0"/>
        <v>0.707894736842105</v>
      </c>
      <c r="O65" s="1">
        <f t="shared" si="1"/>
        <v>0.29210526315789476</v>
      </c>
    </row>
    <row r="66" spans="8:8">
      <c r="A66" t="s">
        <v>77</v>
      </c>
      <c r="B66" t="s">
        <v>220</v>
      </c>
      <c r="C66" t="s">
        <v>307</v>
      </c>
      <c r="D66">
        <v>3.79</v>
      </c>
      <c r="E66">
        <v>1.56</v>
      </c>
      <c r="F66">
        <v>8.34</v>
      </c>
      <c r="G66">
        <v>25.0</v>
      </c>
      <c r="H66">
        <v>65.0</v>
      </c>
      <c r="I66">
        <v>0.0</v>
      </c>
      <c r="J66">
        <v>10.0</v>
      </c>
      <c r="K66" t="s">
        <v>356</v>
      </c>
      <c r="L66">
        <v>1140.0</v>
      </c>
      <c r="M66">
        <v>355.0</v>
      </c>
      <c r="N66" s="1">
        <f t="shared" si="0"/>
        <v>0.68859649122807</v>
      </c>
      <c r="O66" s="1">
        <f t="shared" si="1"/>
        <v>0.31140350877192985</v>
      </c>
    </row>
    <row r="67" spans="8:8">
      <c r="A67" t="s">
        <v>78</v>
      </c>
      <c r="B67" t="s">
        <v>221</v>
      </c>
      <c r="C67" t="s">
        <v>308</v>
      </c>
      <c r="D67">
        <v>1.77</v>
      </c>
      <c r="E67">
        <v>0.81</v>
      </c>
      <c r="F67">
        <v>3.85</v>
      </c>
      <c r="G67">
        <v>14.0</v>
      </c>
      <c r="H67">
        <v>76.0</v>
      </c>
      <c r="I67">
        <v>0.0</v>
      </c>
      <c r="J67">
        <v>10.0</v>
      </c>
      <c r="K67" t="s">
        <v>356</v>
      </c>
      <c r="L67">
        <v>1140.0</v>
      </c>
      <c r="M67">
        <v>598.0</v>
      </c>
      <c r="N67" s="1">
        <f t="shared" si="2" ref="N67:N130">1-O67</f>
        <v>0.475438596491228</v>
      </c>
      <c r="O67" s="1">
        <f t="shared" si="3" ref="O67:O130">M67/L67</f>
        <v>0.5245614035087719</v>
      </c>
    </row>
    <row r="68" spans="8:8">
      <c r="A68" t="s">
        <v>79</v>
      </c>
      <c r="B68" t="s">
        <v>222</v>
      </c>
      <c r="C68" t="s">
        <v>309</v>
      </c>
      <c r="D68">
        <v>12.3</v>
      </c>
      <c r="E68">
        <v>0.57</v>
      </c>
      <c r="F68">
        <v>28.4</v>
      </c>
      <c r="G68">
        <v>50.0</v>
      </c>
      <c r="H68">
        <v>20.0</v>
      </c>
      <c r="I68">
        <v>0.0</v>
      </c>
      <c r="J68">
        <v>30.0</v>
      </c>
      <c r="K68" t="s">
        <v>358</v>
      </c>
      <c r="L68">
        <v>8117.0</v>
      </c>
      <c r="M68">
        <v>3366.0</v>
      </c>
      <c r="N68" s="1">
        <f t="shared" si="2"/>
        <v>0.585314771467291</v>
      </c>
      <c r="O68" s="1">
        <f t="shared" si="3"/>
        <v>0.4146852285327091</v>
      </c>
    </row>
    <row r="69" spans="8:8">
      <c r="A69" t="s">
        <v>80</v>
      </c>
      <c r="B69" t="s">
        <v>223</v>
      </c>
      <c r="C69" t="s">
        <v>310</v>
      </c>
      <c r="D69">
        <v>2.19</v>
      </c>
      <c r="E69">
        <v>1.36</v>
      </c>
      <c r="F69">
        <v>4.77</v>
      </c>
      <c r="G69">
        <v>15.0</v>
      </c>
      <c r="H69">
        <v>80.0</v>
      </c>
      <c r="I69">
        <v>0.0</v>
      </c>
      <c r="J69">
        <v>5.0</v>
      </c>
      <c r="K69" t="s">
        <v>356</v>
      </c>
      <c r="L69">
        <v>1140.0</v>
      </c>
      <c r="M69">
        <v>533.0</v>
      </c>
      <c r="N69" s="1">
        <f t="shared" si="2"/>
        <v>0.532456140350877</v>
      </c>
      <c r="O69" s="1">
        <f t="shared" si="3"/>
        <v>0.4675438596491228</v>
      </c>
    </row>
    <row r="70" spans="8:8">
      <c r="A70" t="s">
        <v>81</v>
      </c>
      <c r="B70" t="s">
        <v>224</v>
      </c>
      <c r="C70" t="s">
        <v>311</v>
      </c>
      <c r="D70">
        <v>9.68</v>
      </c>
      <c r="E70">
        <v>1.56</v>
      </c>
      <c r="F70">
        <v>22.03</v>
      </c>
      <c r="G70">
        <v>30.0</v>
      </c>
      <c r="H70">
        <v>60.0</v>
      </c>
      <c r="I70">
        <v>0.0</v>
      </c>
      <c r="J70">
        <v>10.0</v>
      </c>
      <c r="K70" t="s">
        <v>356</v>
      </c>
      <c r="L70">
        <v>1140.0</v>
      </c>
      <c r="M70">
        <v>123.0</v>
      </c>
      <c r="N70" s="1">
        <f t="shared" si="2"/>
        <v>0.892105263157895</v>
      </c>
      <c r="O70" s="1">
        <f t="shared" si="3"/>
        <v>0.10789473684210527</v>
      </c>
    </row>
    <row r="71" spans="8:8">
      <c r="A71" t="s">
        <v>82</v>
      </c>
      <c r="B71" t="s">
        <v>225</v>
      </c>
      <c r="C71" t="s">
        <v>312</v>
      </c>
      <c r="D71">
        <v>13.93</v>
      </c>
      <c r="E71">
        <v>2.04</v>
      </c>
      <c r="F71">
        <v>32.45</v>
      </c>
      <c r="G71">
        <v>40.0</v>
      </c>
      <c r="H71">
        <v>50.0</v>
      </c>
      <c r="I71">
        <v>0.0</v>
      </c>
      <c r="J71">
        <v>10.0</v>
      </c>
      <c r="K71" t="s">
        <v>358</v>
      </c>
      <c r="L71">
        <v>8117.0</v>
      </c>
      <c r="M71">
        <v>3192.0</v>
      </c>
      <c r="N71" s="1">
        <f t="shared" si="2"/>
        <v>0.606751262781816</v>
      </c>
      <c r="O71" s="1">
        <f t="shared" si="3"/>
        <v>0.39324873721818404</v>
      </c>
    </row>
    <row r="72" spans="8:8">
      <c r="A72" t="s">
        <v>83</v>
      </c>
      <c r="B72" t="s">
        <v>226</v>
      </c>
      <c r="C72" t="s">
        <v>274</v>
      </c>
      <c r="D72">
        <v>1.54</v>
      </c>
      <c r="E72">
        <v>1.27</v>
      </c>
      <c r="F72">
        <v>3.36</v>
      </c>
      <c r="G72">
        <v>5.0</v>
      </c>
      <c r="H72">
        <v>95.0</v>
      </c>
      <c r="I72">
        <v>0.0</v>
      </c>
      <c r="J72">
        <v>0.0</v>
      </c>
      <c r="K72" t="s">
        <v>353</v>
      </c>
      <c r="L72">
        <v>3174.0</v>
      </c>
      <c r="M72">
        <v>1689.0</v>
      </c>
      <c r="N72" s="1">
        <f t="shared" si="2"/>
        <v>0.46786389413988705</v>
      </c>
      <c r="O72" s="1">
        <f t="shared" si="3"/>
        <v>0.5321361058601134</v>
      </c>
    </row>
    <row r="73" spans="8:8">
      <c r="A73" t="s">
        <v>84</v>
      </c>
      <c r="B73" t="s">
        <v>227</v>
      </c>
      <c r="C73" t="s">
        <v>313</v>
      </c>
      <c r="D73">
        <v>5.49</v>
      </c>
      <c r="E73">
        <v>0.73</v>
      </c>
      <c r="F73">
        <v>12.21</v>
      </c>
      <c r="G73">
        <v>11.0</v>
      </c>
      <c r="H73">
        <v>80.0</v>
      </c>
      <c r="I73">
        <v>0.0</v>
      </c>
      <c r="J73">
        <v>9.0</v>
      </c>
      <c r="K73" t="s">
        <v>356</v>
      </c>
      <c r="L73">
        <v>1140.0</v>
      </c>
      <c r="M73">
        <v>247.0</v>
      </c>
      <c r="N73" s="1">
        <f t="shared" si="2"/>
        <v>0.783333333333333</v>
      </c>
      <c r="O73" s="1">
        <f t="shared" si="3"/>
        <v>0.21666666666666667</v>
      </c>
    </row>
    <row r="74" spans="8:8">
      <c r="A74" t="s">
        <v>85</v>
      </c>
      <c r="B74" t="s">
        <v>228</v>
      </c>
      <c r="C74" t="s">
        <v>314</v>
      </c>
      <c r="D74">
        <v>14.16</v>
      </c>
      <c r="E74">
        <v>0.57</v>
      </c>
      <c r="F74">
        <v>33.03</v>
      </c>
      <c r="G74">
        <v>50.0</v>
      </c>
      <c r="H74">
        <v>20.0</v>
      </c>
      <c r="I74">
        <v>0.0</v>
      </c>
      <c r="J74">
        <v>30.0</v>
      </c>
      <c r="K74" t="s">
        <v>358</v>
      </c>
      <c r="L74">
        <v>8117.0</v>
      </c>
      <c r="M74">
        <v>3176.0</v>
      </c>
      <c r="N74" s="1">
        <f t="shared" si="2"/>
        <v>0.6087224343969451</v>
      </c>
      <c r="O74" s="1">
        <f t="shared" si="3"/>
        <v>0.3912775656030553</v>
      </c>
    </row>
    <row r="75" spans="8:8">
      <c r="A75" t="s">
        <v>86</v>
      </c>
      <c r="B75" t="s">
        <v>229</v>
      </c>
      <c r="C75" t="s">
        <v>315</v>
      </c>
      <c r="D75">
        <v>2.72</v>
      </c>
      <c r="E75">
        <v>2.73</v>
      </c>
      <c r="F75">
        <v>5.96</v>
      </c>
      <c r="G75">
        <v>40.0</v>
      </c>
      <c r="H75">
        <v>50.0</v>
      </c>
      <c r="I75">
        <v>0.0</v>
      </c>
      <c r="J75">
        <v>10.0</v>
      </c>
      <c r="K75" t="s">
        <v>358</v>
      </c>
      <c r="L75">
        <v>8117.0</v>
      </c>
      <c r="M75">
        <v>4767.0</v>
      </c>
      <c r="N75" s="1">
        <f t="shared" si="2"/>
        <v>0.41271405691758</v>
      </c>
      <c r="O75" s="1">
        <f t="shared" si="3"/>
        <v>0.5872859430824197</v>
      </c>
    </row>
    <row r="76" spans="8:8">
      <c r="A76" t="s">
        <v>87</v>
      </c>
      <c r="B76" t="s">
        <v>230</v>
      </c>
      <c r="C76" t="s">
        <v>316</v>
      </c>
      <c r="D76">
        <v>3.86</v>
      </c>
      <c r="E76">
        <v>2.08</v>
      </c>
      <c r="F76">
        <v>8.5</v>
      </c>
      <c r="G76">
        <v>30.0</v>
      </c>
      <c r="H76">
        <v>60.0</v>
      </c>
      <c r="I76">
        <v>0.0</v>
      </c>
      <c r="J76">
        <v>10.0</v>
      </c>
      <c r="K76" t="s">
        <v>356</v>
      </c>
      <c r="L76">
        <v>1140.0</v>
      </c>
      <c r="M76">
        <v>353.0</v>
      </c>
      <c r="N76" s="1">
        <f t="shared" si="2"/>
        <v>0.690350877192982</v>
      </c>
      <c r="O76" s="1">
        <f t="shared" si="3"/>
        <v>0.30964912280701756</v>
      </c>
    </row>
    <row r="77" spans="8:8">
      <c r="A77" t="s">
        <v>88</v>
      </c>
      <c r="B77" t="s">
        <v>231</v>
      </c>
      <c r="C77" t="s">
        <v>275</v>
      </c>
      <c r="D77">
        <v>0.13</v>
      </c>
      <c r="E77">
        <v>0.09</v>
      </c>
      <c r="F77">
        <v>1.56</v>
      </c>
      <c r="G77">
        <v>0.0</v>
      </c>
      <c r="H77">
        <v>0.0</v>
      </c>
      <c r="I77">
        <v>100.0</v>
      </c>
      <c r="J77">
        <v>0.0</v>
      </c>
      <c r="K77" t="s">
        <v>355</v>
      </c>
      <c r="L77">
        <v>542.0</v>
      </c>
      <c r="M77">
        <v>543.0</v>
      </c>
      <c r="N77" s="1">
        <f t="shared" si="2"/>
        <v>-0.001845018450179925</v>
      </c>
      <c r="O77" s="1">
        <f t="shared" si="3"/>
        <v>1.0018450184501846</v>
      </c>
    </row>
    <row r="78" spans="8:8">
      <c r="A78" t="s">
        <v>89</v>
      </c>
      <c r="B78" t="s">
        <v>232</v>
      </c>
      <c r="C78" t="s">
        <v>317</v>
      </c>
      <c r="D78">
        <v>0.18</v>
      </c>
      <c r="E78">
        <v>0.19</v>
      </c>
      <c r="F78">
        <v>2.16</v>
      </c>
      <c r="G78">
        <v>5.0</v>
      </c>
      <c r="H78">
        <v>0.0</v>
      </c>
      <c r="I78">
        <v>95.0</v>
      </c>
      <c r="J78">
        <v>0.0</v>
      </c>
      <c r="K78" t="s">
        <v>353</v>
      </c>
      <c r="L78">
        <v>3174.0</v>
      </c>
      <c r="M78">
        <v>2504.0</v>
      </c>
      <c r="N78" s="1">
        <f t="shared" si="2"/>
        <v>0.21109010712035303</v>
      </c>
      <c r="O78" s="1">
        <f t="shared" si="3"/>
        <v>0.7889098928796471</v>
      </c>
    </row>
    <row r="79" spans="8:8">
      <c r="A79" t="s">
        <v>90</v>
      </c>
      <c r="B79" t="s">
        <v>233</v>
      </c>
      <c r="C79" t="s">
        <v>285</v>
      </c>
      <c r="D79">
        <v>0.76</v>
      </c>
      <c r="E79">
        <v>0.67</v>
      </c>
      <c r="F79">
        <v>17.09</v>
      </c>
      <c r="G79">
        <v>10.0</v>
      </c>
      <c r="H79">
        <v>90.0</v>
      </c>
      <c r="I79">
        <v>0.0</v>
      </c>
      <c r="J79">
        <v>0.0</v>
      </c>
      <c r="K79" t="s">
        <v>353</v>
      </c>
      <c r="L79">
        <v>3174.0</v>
      </c>
      <c r="M79">
        <v>2243.0</v>
      </c>
      <c r="N79" s="1">
        <f t="shared" si="2"/>
        <v>0.293320730938878</v>
      </c>
      <c r="O79" s="1">
        <f t="shared" si="3"/>
        <v>0.7066792690611217</v>
      </c>
    </row>
    <row r="80" spans="8:8">
      <c r="A80" t="s">
        <v>91</v>
      </c>
      <c r="B80" t="s">
        <v>234</v>
      </c>
      <c r="C80" t="s">
        <v>318</v>
      </c>
      <c r="D80">
        <v>4.3</v>
      </c>
      <c r="E80">
        <v>1.35</v>
      </c>
      <c r="F80">
        <v>9.51</v>
      </c>
      <c r="G80">
        <v>10.0</v>
      </c>
      <c r="H80">
        <v>87.0</v>
      </c>
      <c r="I80">
        <v>0.0</v>
      </c>
      <c r="J80">
        <v>3.0</v>
      </c>
      <c r="K80" t="s">
        <v>353</v>
      </c>
      <c r="L80">
        <v>3174.0</v>
      </c>
      <c r="M80">
        <v>702.0</v>
      </c>
      <c r="N80" s="1">
        <f t="shared" si="2"/>
        <v>0.77882797731569</v>
      </c>
      <c r="O80" s="1">
        <f t="shared" si="3"/>
        <v>0.22117202268431002</v>
      </c>
    </row>
    <row r="81" spans="8:8">
      <c r="A81" t="s">
        <v>92</v>
      </c>
      <c r="B81" t="s">
        <v>235</v>
      </c>
      <c r="C81" t="s">
        <v>319</v>
      </c>
      <c r="D81">
        <v>7.04</v>
      </c>
      <c r="E81">
        <v>1.82</v>
      </c>
      <c r="F81">
        <v>15.79</v>
      </c>
      <c r="G81">
        <v>17.0</v>
      </c>
      <c r="H81">
        <v>80.0</v>
      </c>
      <c r="I81">
        <v>0.0</v>
      </c>
      <c r="J81">
        <v>3.0</v>
      </c>
      <c r="K81" t="s">
        <v>356</v>
      </c>
      <c r="L81">
        <v>1140.0</v>
      </c>
      <c r="M81">
        <v>193.0</v>
      </c>
      <c r="N81" s="1">
        <f t="shared" si="2"/>
        <v>0.8307017543859649</v>
      </c>
      <c r="O81" s="1">
        <f t="shared" si="3"/>
        <v>0.1692982456140351</v>
      </c>
    </row>
    <row r="82" spans="8:8">
      <c r="A82" t="s">
        <v>93</v>
      </c>
      <c r="B82" t="s">
        <v>236</v>
      </c>
      <c r="C82" t="s">
        <v>320</v>
      </c>
      <c r="D82">
        <v>8.4</v>
      </c>
      <c r="E82">
        <v>2.18</v>
      </c>
      <c r="F82">
        <v>18.98</v>
      </c>
      <c r="G82">
        <v>25.0</v>
      </c>
      <c r="H82">
        <v>70.0</v>
      </c>
      <c r="I82">
        <v>0.0</v>
      </c>
      <c r="J82">
        <v>5.0</v>
      </c>
      <c r="K82" t="s">
        <v>356</v>
      </c>
      <c r="L82">
        <v>1140.0</v>
      </c>
      <c r="M82">
        <v>151.0</v>
      </c>
      <c r="N82" s="1">
        <f t="shared" si="2"/>
        <v>0.867543859649123</v>
      </c>
      <c r="O82" s="1">
        <f t="shared" si="3"/>
        <v>0.1324561403508772</v>
      </c>
    </row>
    <row r="83" spans="8:8">
      <c r="A83" t="s">
        <v>94</v>
      </c>
      <c r="B83" t="s">
        <v>197</v>
      </c>
      <c r="C83" t="s">
        <v>321</v>
      </c>
      <c r="D83">
        <v>27.16</v>
      </c>
      <c r="E83">
        <v>5.78</v>
      </c>
      <c r="F83">
        <v>67.83</v>
      </c>
      <c r="G83">
        <v>80.0</v>
      </c>
      <c r="H83">
        <v>15.0</v>
      </c>
      <c r="I83">
        <v>0.0</v>
      </c>
      <c r="J83">
        <v>5.0</v>
      </c>
      <c r="K83" t="s">
        <v>354</v>
      </c>
      <c r="L83">
        <v>4428.0</v>
      </c>
      <c r="M83">
        <v>1011.0</v>
      </c>
      <c r="N83" s="1">
        <f t="shared" si="2"/>
        <v>0.771680216802168</v>
      </c>
      <c r="O83" s="1">
        <f t="shared" si="3"/>
        <v>0.22831978319783197</v>
      </c>
    </row>
    <row r="84" spans="8:8">
      <c r="A84" t="s">
        <v>95</v>
      </c>
      <c r="B84" t="s">
        <v>237</v>
      </c>
      <c r="C84" t="s">
        <v>322</v>
      </c>
      <c r="D84">
        <v>2.78</v>
      </c>
      <c r="E84">
        <v>0.76</v>
      </c>
      <c r="F84">
        <v>6.08</v>
      </c>
      <c r="G84">
        <v>5.0</v>
      </c>
      <c r="H84">
        <v>90.0</v>
      </c>
      <c r="I84">
        <v>0.0</v>
      </c>
      <c r="J84">
        <v>5.0</v>
      </c>
      <c r="K84" t="s">
        <v>353</v>
      </c>
      <c r="L84">
        <v>3174.0</v>
      </c>
      <c r="M84">
        <v>1057.0</v>
      </c>
      <c r="N84" s="1">
        <f t="shared" si="2"/>
        <v>0.66698172652804</v>
      </c>
      <c r="O84" s="1">
        <f t="shared" si="3"/>
        <v>0.33301827347195967</v>
      </c>
    </row>
    <row r="85" spans="8:8">
      <c r="A85" t="s">
        <v>96</v>
      </c>
      <c r="B85" t="s">
        <v>238</v>
      </c>
      <c r="C85" t="s">
        <v>313</v>
      </c>
      <c r="D85">
        <v>6.35</v>
      </c>
      <c r="E85">
        <v>0.73</v>
      </c>
      <c r="F85">
        <v>14.18</v>
      </c>
      <c r="G85">
        <v>11.0</v>
      </c>
      <c r="H85">
        <v>80.0</v>
      </c>
      <c r="I85">
        <v>0.0</v>
      </c>
      <c r="J85">
        <v>9.0</v>
      </c>
      <c r="K85" t="s">
        <v>356</v>
      </c>
      <c r="L85">
        <v>1140.0</v>
      </c>
      <c r="M85">
        <v>206.0</v>
      </c>
      <c r="N85" s="1">
        <f t="shared" si="2"/>
        <v>0.819298245614035</v>
      </c>
      <c r="O85" s="1">
        <f t="shared" si="3"/>
        <v>0.18070175438596492</v>
      </c>
    </row>
    <row r="86" spans="8:8">
      <c r="A86" t="s">
        <v>97</v>
      </c>
      <c r="B86" t="s">
        <v>239</v>
      </c>
      <c r="C86" t="s">
        <v>320</v>
      </c>
      <c r="D86">
        <v>2.68</v>
      </c>
      <c r="E86">
        <v>1.45</v>
      </c>
      <c r="F86">
        <v>5.97</v>
      </c>
      <c r="G86">
        <v>25.0</v>
      </c>
      <c r="H86">
        <v>70.0</v>
      </c>
      <c r="I86">
        <v>0.0</v>
      </c>
      <c r="J86">
        <v>5.0</v>
      </c>
      <c r="K86" t="s">
        <v>356</v>
      </c>
      <c r="L86">
        <v>1140.0</v>
      </c>
      <c r="M86">
        <v>481.0</v>
      </c>
      <c r="N86" s="1">
        <f t="shared" si="2"/>
        <v>0.578070175438596</v>
      </c>
      <c r="O86" s="1">
        <f t="shared" si="3"/>
        <v>0.4219298245614035</v>
      </c>
    </row>
    <row r="87" spans="8:8">
      <c r="A87" t="s">
        <v>98</v>
      </c>
      <c r="B87" t="s">
        <v>240</v>
      </c>
      <c r="C87" t="s">
        <v>323</v>
      </c>
      <c r="D87">
        <v>2.47</v>
      </c>
      <c r="E87">
        <v>1.82</v>
      </c>
      <c r="F87">
        <v>5.41</v>
      </c>
      <c r="G87">
        <v>17.0</v>
      </c>
      <c r="H87">
        <v>80.0</v>
      </c>
      <c r="I87">
        <v>0.0</v>
      </c>
      <c r="J87">
        <v>3.0</v>
      </c>
      <c r="K87" t="s">
        <v>356</v>
      </c>
      <c r="L87">
        <v>1140.0</v>
      </c>
      <c r="M87">
        <v>509.0</v>
      </c>
      <c r="N87" s="1">
        <f t="shared" si="2"/>
        <v>0.5535087719298251</v>
      </c>
      <c r="O87" s="1">
        <f t="shared" si="3"/>
        <v>0.44649122807017544</v>
      </c>
    </row>
    <row r="88" spans="8:8">
      <c r="A88" t="s">
        <v>99</v>
      </c>
      <c r="B88" t="s">
        <v>241</v>
      </c>
      <c r="C88" t="s">
        <v>275</v>
      </c>
      <c r="D88">
        <v>1.05</v>
      </c>
      <c r="E88">
        <v>0.54</v>
      </c>
      <c r="F88">
        <v>2.28</v>
      </c>
      <c r="G88">
        <v>0.0</v>
      </c>
      <c r="H88">
        <v>0.0</v>
      </c>
      <c r="I88">
        <v>100.0</v>
      </c>
      <c r="J88">
        <v>0.0</v>
      </c>
      <c r="K88" t="s">
        <v>355</v>
      </c>
      <c r="L88">
        <v>542.0</v>
      </c>
      <c r="M88">
        <v>1.0</v>
      </c>
      <c r="N88" s="1">
        <f t="shared" si="2"/>
        <v>0.9981549815498155</v>
      </c>
      <c r="O88" s="1">
        <f t="shared" si="3"/>
        <v>0.0018450184501845018</v>
      </c>
    </row>
    <row r="89" spans="8:8">
      <c r="A89" t="s">
        <v>100</v>
      </c>
      <c r="B89" t="s">
        <v>242</v>
      </c>
      <c r="C89" t="s">
        <v>273</v>
      </c>
      <c r="D89">
        <v>9.52</v>
      </c>
      <c r="E89">
        <v>6.65</v>
      </c>
      <c r="F89">
        <v>32.87</v>
      </c>
      <c r="G89">
        <v>95.0</v>
      </c>
      <c r="H89">
        <v>5.0</v>
      </c>
      <c r="I89">
        <v>0.0</v>
      </c>
      <c r="J89">
        <v>0.0</v>
      </c>
      <c r="K89" t="s">
        <v>354</v>
      </c>
      <c r="L89">
        <v>4428.0</v>
      </c>
      <c r="M89">
        <v>2120.0</v>
      </c>
      <c r="N89" s="1">
        <f t="shared" si="2"/>
        <v>0.5212285456187891</v>
      </c>
      <c r="O89" s="1">
        <f t="shared" si="3"/>
        <v>0.4787714543812105</v>
      </c>
    </row>
    <row r="90" spans="8:8">
      <c r="A90" t="s">
        <v>101</v>
      </c>
      <c r="B90" t="s">
        <v>185</v>
      </c>
      <c r="C90" t="s">
        <v>324</v>
      </c>
      <c r="D90">
        <v>11.03</v>
      </c>
      <c r="E90">
        <v>4.31</v>
      </c>
      <c r="F90">
        <v>25.3</v>
      </c>
      <c r="G90">
        <v>50.0</v>
      </c>
      <c r="H90">
        <v>50.0</v>
      </c>
      <c r="I90">
        <v>0.0</v>
      </c>
      <c r="J90">
        <v>0.0</v>
      </c>
      <c r="K90" t="s">
        <v>358</v>
      </c>
      <c r="L90">
        <v>8117.0</v>
      </c>
      <c r="M90">
        <v>3510.0</v>
      </c>
      <c r="N90" s="1">
        <f t="shared" si="2"/>
        <v>0.567574226931132</v>
      </c>
      <c r="O90" s="1">
        <f t="shared" si="3"/>
        <v>0.4324257730688678</v>
      </c>
    </row>
    <row r="91" spans="8:8">
      <c r="A91" t="s">
        <v>102</v>
      </c>
      <c r="B91" t="s">
        <v>243</v>
      </c>
      <c r="C91" t="s">
        <v>325</v>
      </c>
      <c r="D91">
        <v>10.51</v>
      </c>
      <c r="E91">
        <v>7.31</v>
      </c>
      <c r="F91">
        <v>24.04</v>
      </c>
      <c r="G91">
        <v>95.0</v>
      </c>
      <c r="H91">
        <v>5.0</v>
      </c>
      <c r="I91">
        <v>0.0</v>
      </c>
      <c r="J91">
        <v>0.0</v>
      </c>
      <c r="K91" t="s">
        <v>354</v>
      </c>
      <c r="L91">
        <v>4428.0</v>
      </c>
      <c r="M91">
        <v>2025.0</v>
      </c>
      <c r="N91" s="1">
        <f t="shared" si="2"/>
        <v>0.542682926829268</v>
      </c>
      <c r="O91" s="1">
        <f t="shared" si="3"/>
        <v>0.4573170731707317</v>
      </c>
    </row>
    <row r="92" spans="8:8">
      <c r="A92" t="s">
        <v>103</v>
      </c>
      <c r="B92" t="s">
        <v>244</v>
      </c>
      <c r="C92" t="s">
        <v>326</v>
      </c>
      <c r="D92">
        <v>6.4</v>
      </c>
      <c r="E92">
        <v>2.94</v>
      </c>
      <c r="F92">
        <v>14.3</v>
      </c>
      <c r="G92">
        <v>30.0</v>
      </c>
      <c r="H92">
        <v>70.0</v>
      </c>
      <c r="I92">
        <v>0.0</v>
      </c>
      <c r="J92">
        <v>0.0</v>
      </c>
      <c r="K92" t="s">
        <v>356</v>
      </c>
      <c r="L92">
        <v>1140.0</v>
      </c>
      <c r="M92">
        <v>204.0</v>
      </c>
      <c r="N92" s="1">
        <f t="shared" si="2"/>
        <v>0.821052631578947</v>
      </c>
      <c r="O92" s="1">
        <f t="shared" si="3"/>
        <v>0.17894736842105263</v>
      </c>
    </row>
    <row r="93" spans="8:8">
      <c r="A93" t="s">
        <v>104</v>
      </c>
      <c r="B93" t="s">
        <v>245</v>
      </c>
      <c r="C93" t="s">
        <v>327</v>
      </c>
      <c r="D93">
        <v>3.98</v>
      </c>
      <c r="E93">
        <v>1.52</v>
      </c>
      <c r="F93">
        <v>8.78</v>
      </c>
      <c r="G93">
        <v>10.0</v>
      </c>
      <c r="H93">
        <v>90.0</v>
      </c>
      <c r="I93">
        <v>0.0</v>
      </c>
      <c r="J93">
        <v>0.0</v>
      </c>
      <c r="K93" t="s">
        <v>353</v>
      </c>
      <c r="L93">
        <v>3174.0</v>
      </c>
      <c r="M93">
        <v>764.0</v>
      </c>
      <c r="N93" s="1">
        <f t="shared" si="2"/>
        <v>0.759294265910523</v>
      </c>
      <c r="O93" s="1">
        <f t="shared" si="3"/>
        <v>0.240705734089477</v>
      </c>
    </row>
    <row r="94" spans="8:8">
      <c r="A94" t="s">
        <v>105</v>
      </c>
      <c r="B94" t="s">
        <v>246</v>
      </c>
      <c r="C94" t="s">
        <v>324</v>
      </c>
      <c r="D94">
        <v>9.31</v>
      </c>
      <c r="E94">
        <v>4.31</v>
      </c>
      <c r="F94">
        <v>21.15</v>
      </c>
      <c r="G94">
        <v>50.0</v>
      </c>
      <c r="H94">
        <v>50.0</v>
      </c>
      <c r="I94">
        <v>0.0</v>
      </c>
      <c r="J94">
        <v>0.0</v>
      </c>
      <c r="K94" t="s">
        <v>358</v>
      </c>
      <c r="L94">
        <v>8117.0</v>
      </c>
      <c r="M94">
        <v>3730.0</v>
      </c>
      <c r="N94" s="1">
        <f t="shared" si="2"/>
        <v>0.540470617223112</v>
      </c>
      <c r="O94" s="1">
        <f t="shared" si="3"/>
        <v>0.45952938277688804</v>
      </c>
    </row>
    <row r="95" spans="8:8">
      <c r="A95" t="s">
        <v>106</v>
      </c>
      <c r="B95" t="s">
        <v>183</v>
      </c>
      <c r="C95" t="s">
        <v>328</v>
      </c>
      <c r="D95">
        <v>2.17</v>
      </c>
      <c r="E95">
        <v>1.52</v>
      </c>
      <c r="F95">
        <v>4.73</v>
      </c>
      <c r="G95">
        <v>10.0</v>
      </c>
      <c r="H95">
        <v>90.0</v>
      </c>
      <c r="I95">
        <v>0.0</v>
      </c>
      <c r="J95">
        <v>0.0</v>
      </c>
      <c r="K95" t="s">
        <v>353</v>
      </c>
      <c r="L95">
        <v>3174.0</v>
      </c>
      <c r="M95">
        <v>1308.0</v>
      </c>
      <c r="N95" s="1">
        <f t="shared" si="2"/>
        <v>0.587901701323251</v>
      </c>
      <c r="O95" s="1">
        <f t="shared" si="3"/>
        <v>0.4120982986767486</v>
      </c>
    </row>
    <row r="96" spans="8:8">
      <c r="A96" t="s">
        <v>107</v>
      </c>
      <c r="B96" t="s">
        <v>184</v>
      </c>
      <c r="C96" t="s">
        <v>329</v>
      </c>
      <c r="D96">
        <v>6.62</v>
      </c>
      <c r="E96">
        <v>2.94</v>
      </c>
      <c r="F96">
        <v>14.83</v>
      </c>
      <c r="G96">
        <v>30.0</v>
      </c>
      <c r="H96">
        <v>70.0</v>
      </c>
      <c r="I96">
        <v>0.0</v>
      </c>
      <c r="J96">
        <v>0.0</v>
      </c>
      <c r="K96" t="s">
        <v>356</v>
      </c>
      <c r="L96">
        <v>1140.0</v>
      </c>
      <c r="M96">
        <v>201.0</v>
      </c>
      <c r="N96" s="1">
        <f t="shared" si="2"/>
        <v>0.823684210526316</v>
      </c>
      <c r="O96" s="1">
        <f t="shared" si="3"/>
        <v>0.1763157894736842</v>
      </c>
    </row>
    <row r="97" spans="8:8">
      <c r="A97" t="s">
        <v>108</v>
      </c>
      <c r="B97" t="s">
        <v>169</v>
      </c>
      <c r="C97" t="s">
        <v>330</v>
      </c>
      <c r="D97">
        <v>33.03</v>
      </c>
      <c r="E97">
        <v>6.93</v>
      </c>
      <c r="F97">
        <v>84.98</v>
      </c>
      <c r="G97">
        <v>90.0</v>
      </c>
      <c r="H97">
        <v>10.0</v>
      </c>
      <c r="I97">
        <v>0.0</v>
      </c>
      <c r="J97">
        <v>0.0</v>
      </c>
      <c r="K97" t="s">
        <v>354</v>
      </c>
      <c r="L97">
        <v>4428.0</v>
      </c>
      <c r="M97">
        <v>897.0</v>
      </c>
      <c r="N97" s="1">
        <f t="shared" si="2"/>
        <v>0.797425474254743</v>
      </c>
      <c r="O97" s="1">
        <f t="shared" si="3"/>
        <v>0.20257452574525744</v>
      </c>
    </row>
    <row r="98" spans="8:8">
      <c r="A98" t="s">
        <v>109</v>
      </c>
      <c r="B98" t="s">
        <v>170</v>
      </c>
      <c r="C98" t="s">
        <v>331</v>
      </c>
      <c r="D98">
        <v>4.43</v>
      </c>
      <c r="E98">
        <v>2.24</v>
      </c>
      <c r="F98">
        <v>9.8</v>
      </c>
      <c r="G98">
        <v>20.0</v>
      </c>
      <c r="H98">
        <v>80.0</v>
      </c>
      <c r="I98">
        <v>0.0</v>
      </c>
      <c r="J98">
        <v>0.0</v>
      </c>
      <c r="K98" t="s">
        <v>356</v>
      </c>
      <c r="L98">
        <v>1140.0</v>
      </c>
      <c r="M98">
        <v>301.0</v>
      </c>
      <c r="N98" s="1">
        <f t="shared" si="2"/>
        <v>0.7359649122807019</v>
      </c>
      <c r="O98" s="1">
        <f t="shared" si="3"/>
        <v>0.26403508771929823</v>
      </c>
    </row>
    <row r="99" spans="8:8">
      <c r="A99" t="s">
        <v>110</v>
      </c>
      <c r="B99" t="s">
        <v>247</v>
      </c>
      <c r="C99" t="s">
        <v>275</v>
      </c>
      <c r="D99">
        <v>0.81</v>
      </c>
      <c r="E99">
        <v>0.54</v>
      </c>
      <c r="F99">
        <v>1.75</v>
      </c>
      <c r="G99">
        <v>0.0</v>
      </c>
      <c r="H99">
        <v>0.0</v>
      </c>
      <c r="I99">
        <v>100.0</v>
      </c>
      <c r="J99">
        <v>0.0</v>
      </c>
      <c r="K99" t="s">
        <v>355</v>
      </c>
      <c r="L99">
        <v>542.0</v>
      </c>
      <c r="M99">
        <v>1.0</v>
      </c>
      <c r="N99" s="1">
        <f t="shared" si="2"/>
        <v>0.9981549815498155</v>
      </c>
      <c r="O99" s="1">
        <f t="shared" si="3"/>
        <v>0.0018450184501845018</v>
      </c>
    </row>
    <row r="100" spans="8:8">
      <c r="A100" t="s">
        <v>111</v>
      </c>
      <c r="B100" t="s">
        <v>171</v>
      </c>
      <c r="C100" t="s">
        <v>275</v>
      </c>
      <c r="D100">
        <v>1.24</v>
      </c>
      <c r="E100">
        <v>0.54</v>
      </c>
      <c r="F100">
        <v>2.7</v>
      </c>
      <c r="G100">
        <v>0.0</v>
      </c>
      <c r="H100">
        <v>0.0</v>
      </c>
      <c r="I100">
        <v>100.0</v>
      </c>
      <c r="J100">
        <v>0.0</v>
      </c>
      <c r="K100" t="s">
        <v>355</v>
      </c>
      <c r="L100">
        <v>542.0</v>
      </c>
      <c r="M100">
        <v>1.0</v>
      </c>
      <c r="N100" s="1">
        <f t="shared" si="2"/>
        <v>0.9981549815498155</v>
      </c>
      <c r="O100" s="1">
        <f t="shared" si="3"/>
        <v>0.0018450184501845018</v>
      </c>
    </row>
    <row r="101" spans="8:8">
      <c r="A101" t="s">
        <v>112</v>
      </c>
      <c r="B101" t="s">
        <v>164</v>
      </c>
      <c r="C101" t="s">
        <v>332</v>
      </c>
      <c r="D101">
        <v>1.76</v>
      </c>
      <c r="E101">
        <v>1.38</v>
      </c>
      <c r="F101">
        <v>3.83</v>
      </c>
      <c r="G101">
        <v>8.0</v>
      </c>
      <c r="H101">
        <v>92.0</v>
      </c>
      <c r="I101">
        <v>0.0</v>
      </c>
      <c r="J101">
        <v>0.0</v>
      </c>
      <c r="K101" t="s">
        <v>353</v>
      </c>
      <c r="L101">
        <v>3174.0</v>
      </c>
      <c r="M101">
        <v>1538.0</v>
      </c>
      <c r="N101" s="1">
        <f t="shared" si="2"/>
        <v>0.515437933207309</v>
      </c>
      <c r="O101" s="1">
        <f t="shared" si="3"/>
        <v>0.4845620667926906</v>
      </c>
    </row>
    <row r="102" spans="8:8">
      <c r="A102" t="s">
        <v>113</v>
      </c>
      <c r="B102" t="s">
        <v>248</v>
      </c>
      <c r="C102" t="s">
        <v>333</v>
      </c>
      <c r="D102">
        <v>10.26</v>
      </c>
      <c r="E102">
        <v>7.24</v>
      </c>
      <c r="F102">
        <v>23.44</v>
      </c>
      <c r="G102">
        <v>95.0</v>
      </c>
      <c r="H102">
        <v>5.0</v>
      </c>
      <c r="I102">
        <v>0.0</v>
      </c>
      <c r="J102">
        <v>0.0</v>
      </c>
      <c r="K102" t="s">
        <v>354</v>
      </c>
      <c r="L102">
        <v>4428.0</v>
      </c>
      <c r="M102">
        <v>2048.0</v>
      </c>
      <c r="N102" s="1">
        <f t="shared" si="2"/>
        <v>0.5374887082204161</v>
      </c>
      <c r="O102" s="1">
        <f t="shared" si="3"/>
        <v>0.46251129177958444</v>
      </c>
    </row>
    <row r="103" spans="8:8">
      <c r="A103" t="s">
        <v>114</v>
      </c>
      <c r="B103" t="s">
        <v>164</v>
      </c>
      <c r="C103" t="s">
        <v>272</v>
      </c>
      <c r="D103">
        <v>1.67</v>
      </c>
      <c r="E103">
        <v>1.48</v>
      </c>
      <c r="F103">
        <v>3.63</v>
      </c>
      <c r="G103">
        <v>8.0</v>
      </c>
      <c r="H103">
        <v>92.0</v>
      </c>
      <c r="I103">
        <v>0.0</v>
      </c>
      <c r="J103">
        <v>0.0</v>
      </c>
      <c r="K103" t="s">
        <v>353</v>
      </c>
      <c r="L103">
        <v>3174.0</v>
      </c>
      <c r="M103">
        <v>1609.0</v>
      </c>
      <c r="N103" s="1">
        <f t="shared" si="2"/>
        <v>0.493068683049779</v>
      </c>
      <c r="O103" s="1">
        <f t="shared" si="3"/>
        <v>0.5069313169502205</v>
      </c>
    </row>
    <row r="104" spans="8:8">
      <c r="A104" t="s">
        <v>115</v>
      </c>
      <c r="B104" t="s">
        <v>183</v>
      </c>
      <c r="C104" t="s">
        <v>285</v>
      </c>
      <c r="D104">
        <v>2.91</v>
      </c>
      <c r="E104">
        <v>1.62</v>
      </c>
      <c r="F104">
        <v>6.39</v>
      </c>
      <c r="G104">
        <v>10.0</v>
      </c>
      <c r="H104">
        <v>90.0</v>
      </c>
      <c r="I104">
        <v>0.0</v>
      </c>
      <c r="J104">
        <v>0.0</v>
      </c>
      <c r="K104" t="s">
        <v>353</v>
      </c>
      <c r="L104">
        <v>3174.0</v>
      </c>
      <c r="M104">
        <v>1020.0</v>
      </c>
      <c r="N104" s="1">
        <f t="shared" si="2"/>
        <v>0.678638941398866</v>
      </c>
      <c r="O104" s="1">
        <f t="shared" si="3"/>
        <v>0.32136105860113423</v>
      </c>
    </row>
    <row r="105" spans="8:8">
      <c r="A105" t="s">
        <v>116</v>
      </c>
      <c r="B105" t="s">
        <v>169</v>
      </c>
      <c r="C105" t="s">
        <v>276</v>
      </c>
      <c r="D105">
        <v>32.69</v>
      </c>
      <c r="E105">
        <v>6.94</v>
      </c>
      <c r="F105">
        <v>83.97</v>
      </c>
      <c r="G105">
        <v>90.0</v>
      </c>
      <c r="H105">
        <v>10.0</v>
      </c>
      <c r="I105">
        <v>0.0</v>
      </c>
      <c r="J105">
        <v>0.0</v>
      </c>
      <c r="K105" t="s">
        <v>354</v>
      </c>
      <c r="L105">
        <v>4428.0</v>
      </c>
      <c r="M105">
        <v>916.0</v>
      </c>
      <c r="N105" s="1">
        <f t="shared" si="2"/>
        <v>0.793134598012647</v>
      </c>
      <c r="O105" s="1">
        <f t="shared" si="3"/>
        <v>0.2068654019873532</v>
      </c>
    </row>
    <row r="106" spans="8:8">
      <c r="A106" t="s">
        <v>117</v>
      </c>
      <c r="B106" t="s">
        <v>249</v>
      </c>
      <c r="C106" t="s">
        <v>334</v>
      </c>
      <c r="D106">
        <v>-5.6</v>
      </c>
      <c r="E106">
        <v>-19.99</v>
      </c>
      <c r="F106">
        <v>-11.69</v>
      </c>
      <c r="G106">
        <v>95.0</v>
      </c>
      <c r="H106">
        <v>5.0</v>
      </c>
      <c r="I106">
        <v>0.0</v>
      </c>
      <c r="J106">
        <v>0.0</v>
      </c>
      <c r="K106" t="s">
        <v>354</v>
      </c>
      <c r="L106">
        <v>4428.0</v>
      </c>
      <c r="M106">
        <v>3200.0</v>
      </c>
      <c r="N106" s="1">
        <f t="shared" si="2"/>
        <v>0.27732610659439905</v>
      </c>
      <c r="O106" s="1">
        <f t="shared" si="3"/>
        <v>0.7226738934056007</v>
      </c>
    </row>
    <row r="107" spans="8:8">
      <c r="A107" t="s">
        <v>118</v>
      </c>
      <c r="B107" t="s">
        <v>250</v>
      </c>
      <c r="C107" t="s">
        <v>335</v>
      </c>
      <c r="D107">
        <v>69.79</v>
      </c>
      <c r="E107">
        <v>14.82</v>
      </c>
      <c r="F107">
        <v>212.95</v>
      </c>
      <c r="G107">
        <v>95.0</v>
      </c>
      <c r="H107">
        <v>5.0</v>
      </c>
      <c r="I107">
        <v>0.0</v>
      </c>
      <c r="J107">
        <v>0.0</v>
      </c>
      <c r="K107" t="s">
        <v>354</v>
      </c>
      <c r="L107">
        <v>4428.0</v>
      </c>
      <c r="M107">
        <v>268.0</v>
      </c>
      <c r="N107" s="1">
        <f t="shared" si="2"/>
        <v>0.9394760614272809</v>
      </c>
      <c r="O107" s="1">
        <f t="shared" si="3"/>
        <v>0.06052393857271906</v>
      </c>
    </row>
    <row r="108" spans="8:8">
      <c r="A108" t="s">
        <v>119</v>
      </c>
      <c r="B108" t="s">
        <v>251</v>
      </c>
      <c r="C108" t="s">
        <v>273</v>
      </c>
      <c r="D108">
        <v>33.34</v>
      </c>
      <c r="E108">
        <v>7.24</v>
      </c>
      <c r="F108">
        <v>85.93</v>
      </c>
      <c r="G108">
        <v>95.0</v>
      </c>
      <c r="H108">
        <v>5.0</v>
      </c>
      <c r="I108">
        <v>0.0</v>
      </c>
      <c r="J108">
        <v>0.0</v>
      </c>
      <c r="K108" t="s">
        <v>354</v>
      </c>
      <c r="L108">
        <v>4428.0</v>
      </c>
      <c r="M108">
        <v>886.0</v>
      </c>
      <c r="N108" s="1">
        <f t="shared" si="2"/>
        <v>0.799909665763324</v>
      </c>
      <c r="O108" s="1">
        <f t="shared" si="3"/>
        <v>0.2000903342366757</v>
      </c>
    </row>
    <row r="109" spans="8:8">
      <c r="A109" t="s">
        <v>120</v>
      </c>
      <c r="B109" t="s">
        <v>252</v>
      </c>
      <c r="C109" t="s">
        <v>276</v>
      </c>
      <c r="D109">
        <v>17.77</v>
      </c>
      <c r="E109">
        <v>6.94</v>
      </c>
      <c r="F109">
        <v>42.26</v>
      </c>
      <c r="G109">
        <v>90.0</v>
      </c>
      <c r="H109">
        <v>10.0</v>
      </c>
      <c r="I109">
        <v>0.0</v>
      </c>
      <c r="J109">
        <v>0.0</v>
      </c>
      <c r="K109" t="s">
        <v>354</v>
      </c>
      <c r="L109">
        <v>4428.0</v>
      </c>
      <c r="M109">
        <v>1439.0</v>
      </c>
      <c r="N109" s="1">
        <f t="shared" si="2"/>
        <v>0.675022583559169</v>
      </c>
      <c r="O109" s="1">
        <f t="shared" si="3"/>
        <v>0.32497741644083106</v>
      </c>
    </row>
    <row r="110" spans="8:8">
      <c r="A110" t="s">
        <v>121</v>
      </c>
      <c r="B110" t="s">
        <v>247</v>
      </c>
      <c r="C110" t="s">
        <v>275</v>
      </c>
      <c r="D110">
        <v>0.79</v>
      </c>
      <c r="E110">
        <v>0.54</v>
      </c>
      <c r="F110">
        <v>1.72</v>
      </c>
      <c r="G110">
        <v>0.0</v>
      </c>
      <c r="H110">
        <v>0.0</v>
      </c>
      <c r="I110">
        <v>100.0</v>
      </c>
      <c r="J110">
        <v>0.0</v>
      </c>
      <c r="K110" t="s">
        <v>355</v>
      </c>
      <c r="L110">
        <v>542.0</v>
      </c>
      <c r="M110">
        <v>1.0</v>
      </c>
      <c r="N110" s="1">
        <f t="shared" si="2"/>
        <v>0.9981549815498155</v>
      </c>
      <c r="O110" s="1">
        <f t="shared" si="3"/>
        <v>0.0018450184501845018</v>
      </c>
    </row>
    <row r="111" spans="8:8">
      <c r="A111" t="s">
        <v>122</v>
      </c>
      <c r="B111" t="s">
        <v>253</v>
      </c>
      <c r="C111" t="s">
        <v>336</v>
      </c>
      <c r="D111">
        <v>5.09</v>
      </c>
      <c r="E111">
        <v>3.7</v>
      </c>
      <c r="F111">
        <v>11.3</v>
      </c>
      <c r="G111">
        <v>40.0</v>
      </c>
      <c r="H111">
        <v>60.0</v>
      </c>
      <c r="I111">
        <v>0.0</v>
      </c>
      <c r="J111">
        <v>0.0</v>
      </c>
      <c r="K111" t="s">
        <v>358</v>
      </c>
      <c r="L111">
        <v>8117.0</v>
      </c>
      <c r="M111">
        <v>4280.0</v>
      </c>
      <c r="N111" s="1">
        <f t="shared" si="2"/>
        <v>0.472711592953061</v>
      </c>
      <c r="O111" s="1">
        <f t="shared" si="3"/>
        <v>0.5272884070469386</v>
      </c>
    </row>
    <row r="112" spans="8:8">
      <c r="A112" t="s">
        <v>123</v>
      </c>
      <c r="B112" t="s">
        <v>168</v>
      </c>
      <c r="C112" t="s">
        <v>273</v>
      </c>
      <c r="D112">
        <v>21.53</v>
      </c>
      <c r="E112">
        <v>7.24</v>
      </c>
      <c r="F112">
        <v>52.24</v>
      </c>
      <c r="G112">
        <v>95.0</v>
      </c>
      <c r="H112">
        <v>5.0</v>
      </c>
      <c r="I112">
        <v>0.0</v>
      </c>
      <c r="J112">
        <v>0.0</v>
      </c>
      <c r="K112" t="s">
        <v>354</v>
      </c>
      <c r="L112">
        <v>4428.0</v>
      </c>
      <c r="M112">
        <v>1178.0</v>
      </c>
      <c r="N112" s="1">
        <f t="shared" si="2"/>
        <v>0.733965672990063</v>
      </c>
      <c r="O112" s="1">
        <f t="shared" si="3"/>
        <v>0.2660343270099368</v>
      </c>
    </row>
    <row r="113" spans="8:8">
      <c r="A113" t="s">
        <v>124</v>
      </c>
      <c r="B113" t="s">
        <v>173</v>
      </c>
      <c r="C113" t="s">
        <v>337</v>
      </c>
      <c r="D113">
        <v>2.23</v>
      </c>
      <c r="E113">
        <v>1.9</v>
      </c>
      <c r="F113">
        <v>4.86</v>
      </c>
      <c r="G113">
        <v>17.0</v>
      </c>
      <c r="H113">
        <v>80.0</v>
      </c>
      <c r="I113">
        <v>0.0</v>
      </c>
      <c r="J113">
        <v>3.0</v>
      </c>
      <c r="K113" t="s">
        <v>356</v>
      </c>
      <c r="L113">
        <v>1140.0</v>
      </c>
      <c r="M113">
        <v>526.0</v>
      </c>
      <c r="N113" s="1">
        <f t="shared" si="2"/>
        <v>0.5385964912280701</v>
      </c>
      <c r="O113" s="1">
        <f t="shared" si="3"/>
        <v>0.4614035087719298</v>
      </c>
    </row>
    <row r="114" spans="8:8">
      <c r="A114" t="s">
        <v>125</v>
      </c>
      <c r="B114" t="s">
        <v>197</v>
      </c>
      <c r="C114" t="s">
        <v>338</v>
      </c>
      <c r="D114">
        <v>10.39</v>
      </c>
      <c r="E114">
        <v>6.18</v>
      </c>
      <c r="F114">
        <v>23.74</v>
      </c>
      <c r="G114">
        <v>80.0</v>
      </c>
      <c r="H114">
        <v>15.0</v>
      </c>
      <c r="I114">
        <v>0.0</v>
      </c>
      <c r="J114">
        <v>5.0</v>
      </c>
      <c r="K114" t="s">
        <v>354</v>
      </c>
      <c r="L114">
        <v>4428.0</v>
      </c>
      <c r="M114">
        <v>2040.0</v>
      </c>
      <c r="N114" s="1">
        <f t="shared" si="2"/>
        <v>0.5392953929539299</v>
      </c>
      <c r="O114" s="1">
        <f t="shared" si="3"/>
        <v>0.46070460704607047</v>
      </c>
    </row>
    <row r="115" spans="8:8">
      <c r="A115" t="s">
        <v>126</v>
      </c>
      <c r="B115" t="s">
        <v>171</v>
      </c>
      <c r="C115" t="s">
        <v>275</v>
      </c>
      <c r="D115">
        <v>1.22</v>
      </c>
      <c r="E115">
        <v>0.54</v>
      </c>
      <c r="F115">
        <v>2.65</v>
      </c>
      <c r="G115">
        <v>0.0</v>
      </c>
      <c r="H115">
        <v>0.0</v>
      </c>
      <c r="I115">
        <v>100.0</v>
      </c>
      <c r="J115">
        <v>0.0</v>
      </c>
      <c r="K115" t="s">
        <v>355</v>
      </c>
      <c r="L115">
        <v>542.0</v>
      </c>
      <c r="M115">
        <v>1.0</v>
      </c>
      <c r="N115" s="1">
        <f t="shared" si="2"/>
        <v>0.9981549815498155</v>
      </c>
      <c r="O115" s="1">
        <f t="shared" si="3"/>
        <v>0.0018450184501845018</v>
      </c>
    </row>
    <row r="116" spans="8:8">
      <c r="A116" t="s">
        <v>127</v>
      </c>
      <c r="B116" t="s">
        <v>198</v>
      </c>
      <c r="C116" t="s">
        <v>339</v>
      </c>
      <c r="D116">
        <v>5.99</v>
      </c>
      <c r="E116">
        <v>7.78</v>
      </c>
      <c r="F116">
        <v>13.36</v>
      </c>
      <c r="G116">
        <v>95.0</v>
      </c>
      <c r="H116">
        <v>5.0</v>
      </c>
      <c r="I116">
        <v>0.0</v>
      </c>
      <c r="J116">
        <v>0.0</v>
      </c>
      <c r="K116" t="s">
        <v>354</v>
      </c>
      <c r="L116">
        <v>4428.0</v>
      </c>
      <c r="M116">
        <v>2471.0</v>
      </c>
      <c r="N116" s="1">
        <f t="shared" si="2"/>
        <v>0.44196025293586305</v>
      </c>
      <c r="O116" s="1">
        <f t="shared" si="3"/>
        <v>0.5580397470641373</v>
      </c>
    </row>
    <row r="117" spans="8:8">
      <c r="A117" t="s">
        <v>128</v>
      </c>
      <c r="B117" t="s">
        <v>175</v>
      </c>
      <c r="C117" t="s">
        <v>280</v>
      </c>
      <c r="D117">
        <v>-1.05</v>
      </c>
      <c r="E117">
        <v>1.79</v>
      </c>
      <c r="F117">
        <v>-2.24</v>
      </c>
      <c r="G117">
        <v>35.0</v>
      </c>
      <c r="H117">
        <v>55.0</v>
      </c>
      <c r="I117">
        <v>0.0</v>
      </c>
      <c r="J117">
        <v>10.0</v>
      </c>
      <c r="K117" t="s">
        <v>358</v>
      </c>
      <c r="L117">
        <v>8117.0</v>
      </c>
      <c r="M117">
        <v>5752.0</v>
      </c>
      <c r="N117" s="1">
        <f t="shared" si="2"/>
        <v>0.291363804361217</v>
      </c>
      <c r="O117" s="1">
        <f t="shared" si="3"/>
        <v>0.7086361956387828</v>
      </c>
    </row>
    <row r="118" spans="8:8">
      <c r="A118" t="s">
        <v>129</v>
      </c>
      <c r="B118" t="s">
        <v>254</v>
      </c>
      <c r="C118" t="s">
        <v>340</v>
      </c>
      <c r="D118">
        <v>2.62</v>
      </c>
      <c r="E118">
        <v>1.62</v>
      </c>
      <c r="F118">
        <v>5.72</v>
      </c>
      <c r="G118">
        <v>10.0</v>
      </c>
      <c r="H118">
        <v>90.0</v>
      </c>
      <c r="I118">
        <v>0.0</v>
      </c>
      <c r="J118">
        <v>0.0</v>
      </c>
      <c r="K118" t="s">
        <v>353</v>
      </c>
      <c r="L118">
        <v>3174.0</v>
      </c>
      <c r="M118">
        <v>1122.0</v>
      </c>
      <c r="N118" s="1">
        <f t="shared" si="2"/>
        <v>0.646502835538752</v>
      </c>
      <c r="O118" s="1">
        <f t="shared" si="3"/>
        <v>0.3534971644612476</v>
      </c>
    </row>
    <row r="119" spans="8:8">
      <c r="A119" t="s">
        <v>130</v>
      </c>
      <c r="B119" t="s">
        <v>255</v>
      </c>
      <c r="C119" t="s">
        <v>341</v>
      </c>
      <c r="D119">
        <v>2.09</v>
      </c>
      <c r="E119">
        <v>1.97</v>
      </c>
      <c r="F119">
        <v>4.57</v>
      </c>
      <c r="G119">
        <v>10.0</v>
      </c>
      <c r="H119">
        <v>90.0</v>
      </c>
      <c r="I119">
        <v>0.0</v>
      </c>
      <c r="J119">
        <v>0.0</v>
      </c>
      <c r="K119" t="s">
        <v>353</v>
      </c>
      <c r="L119">
        <v>3174.0</v>
      </c>
      <c r="M119">
        <v>1342.0</v>
      </c>
      <c r="N119" s="1">
        <f t="shared" si="2"/>
        <v>0.577189666036547</v>
      </c>
      <c r="O119" s="1">
        <f t="shared" si="3"/>
        <v>0.4228103339634531</v>
      </c>
    </row>
    <row r="120" spans="8:8">
      <c r="A120" t="s">
        <v>131</v>
      </c>
      <c r="B120" t="s">
        <v>256</v>
      </c>
      <c r="C120" t="s">
        <v>342</v>
      </c>
      <c r="D120">
        <v>0.28</v>
      </c>
      <c r="E120">
        <v>1.42</v>
      </c>
      <c r="F120">
        <v>0.61</v>
      </c>
      <c r="G120">
        <v>20.0</v>
      </c>
      <c r="H120">
        <v>70.0</v>
      </c>
      <c r="I120">
        <v>0.0</v>
      </c>
      <c r="J120">
        <v>10.0</v>
      </c>
      <c r="K120" t="s">
        <v>356</v>
      </c>
      <c r="L120">
        <v>1140.0</v>
      </c>
      <c r="M120">
        <v>818.0</v>
      </c>
      <c r="N120" s="1">
        <f t="shared" si="2"/>
        <v>0.28245614035087696</v>
      </c>
      <c r="O120" s="1">
        <f t="shared" si="3"/>
        <v>0.7175438596491228</v>
      </c>
    </row>
    <row r="121" spans="8:8">
      <c r="A121" t="s">
        <v>132</v>
      </c>
      <c r="B121" t="s">
        <v>257</v>
      </c>
      <c r="C121" t="s">
        <v>343</v>
      </c>
      <c r="D121">
        <v>0.28</v>
      </c>
      <c r="E121">
        <v>1.62</v>
      </c>
      <c r="F121">
        <v>0.61</v>
      </c>
      <c r="G121">
        <v>18.0</v>
      </c>
      <c r="H121">
        <v>75.0</v>
      </c>
      <c r="I121">
        <v>0.0</v>
      </c>
      <c r="J121">
        <v>7.0</v>
      </c>
      <c r="K121" t="s">
        <v>356</v>
      </c>
      <c r="L121">
        <v>1140.0</v>
      </c>
      <c r="M121">
        <v>818.0</v>
      </c>
      <c r="N121" s="1">
        <f t="shared" si="2"/>
        <v>0.28245614035087696</v>
      </c>
      <c r="O121" s="1">
        <f t="shared" si="3"/>
        <v>0.7175438596491228</v>
      </c>
    </row>
    <row r="122" spans="8:8">
      <c r="A122" t="s">
        <v>133</v>
      </c>
      <c r="B122" t="s">
        <v>196</v>
      </c>
      <c r="C122" t="s">
        <v>273</v>
      </c>
      <c r="D122">
        <v>4.12</v>
      </c>
      <c r="E122">
        <v>7.24</v>
      </c>
      <c r="F122">
        <v>9.1</v>
      </c>
      <c r="G122">
        <v>95.0</v>
      </c>
      <c r="H122">
        <v>5.0</v>
      </c>
      <c r="I122">
        <v>0.0</v>
      </c>
      <c r="J122">
        <v>0.0</v>
      </c>
      <c r="K122" t="s">
        <v>354</v>
      </c>
      <c r="L122">
        <v>4428.0</v>
      </c>
      <c r="M122">
        <v>2603.0</v>
      </c>
      <c r="N122" s="1">
        <f t="shared" si="2"/>
        <v>0.41214995483288197</v>
      </c>
      <c r="O122" s="1">
        <f t="shared" si="3"/>
        <v>0.5878500451671184</v>
      </c>
    </row>
    <row r="123" spans="8:8">
      <c r="A123" t="s">
        <v>134</v>
      </c>
      <c r="B123" t="s">
        <v>258</v>
      </c>
      <c r="C123" t="s">
        <v>344</v>
      </c>
      <c r="D123">
        <v>2.01</v>
      </c>
      <c r="E123">
        <v>3.62</v>
      </c>
      <c r="F123">
        <v>4.38</v>
      </c>
      <c r="G123">
        <v>40.0</v>
      </c>
      <c r="H123">
        <v>50.0</v>
      </c>
      <c r="I123">
        <v>0.0</v>
      </c>
      <c r="J123">
        <v>10.0</v>
      </c>
      <c r="K123" t="s">
        <v>358</v>
      </c>
      <c r="L123">
        <v>8117.0</v>
      </c>
      <c r="M123">
        <v>4939.0</v>
      </c>
      <c r="N123" s="1">
        <f t="shared" si="2"/>
        <v>0.391523962054946</v>
      </c>
      <c r="O123" s="1">
        <f t="shared" si="3"/>
        <v>0.6084760379450536</v>
      </c>
    </row>
    <row r="124" spans="8:8">
      <c r="A124" t="s">
        <v>135</v>
      </c>
      <c r="B124" t="s">
        <v>170</v>
      </c>
      <c r="C124" t="s">
        <v>277</v>
      </c>
      <c r="D124">
        <v>3.22</v>
      </c>
      <c r="E124">
        <v>2.33</v>
      </c>
      <c r="F124">
        <v>7.06</v>
      </c>
      <c r="G124">
        <v>20.0</v>
      </c>
      <c r="H124">
        <v>80.0</v>
      </c>
      <c r="I124">
        <v>0.0</v>
      </c>
      <c r="J124">
        <v>0.0</v>
      </c>
      <c r="K124" t="s">
        <v>356</v>
      </c>
      <c r="L124">
        <v>1140.0</v>
      </c>
      <c r="M124">
        <v>416.0</v>
      </c>
      <c r="N124" s="1">
        <f t="shared" si="2"/>
        <v>0.635087719298246</v>
      </c>
      <c r="O124" s="1">
        <f t="shared" si="3"/>
        <v>0.3649122807017544</v>
      </c>
    </row>
    <row r="125" spans="8:8">
      <c r="A125" t="s">
        <v>136</v>
      </c>
      <c r="B125" t="s">
        <v>182</v>
      </c>
      <c r="C125" t="s">
        <v>274</v>
      </c>
      <c r="D125">
        <v>1.72</v>
      </c>
      <c r="E125">
        <v>1.27</v>
      </c>
      <c r="F125">
        <v>3.74</v>
      </c>
      <c r="G125">
        <v>5.0</v>
      </c>
      <c r="H125">
        <v>95.0</v>
      </c>
      <c r="I125">
        <v>0.0</v>
      </c>
      <c r="J125">
        <v>0.0</v>
      </c>
      <c r="K125" t="s">
        <v>353</v>
      </c>
      <c r="L125">
        <v>3174.0</v>
      </c>
      <c r="M125">
        <v>1573.0</v>
      </c>
      <c r="N125" s="1">
        <f t="shared" si="2"/>
        <v>0.5044108380592309</v>
      </c>
      <c r="O125" s="1">
        <f t="shared" si="3"/>
        <v>0.49558916194076874</v>
      </c>
    </row>
    <row r="126" spans="8:8">
      <c r="A126" t="s">
        <v>137</v>
      </c>
      <c r="B126" t="s">
        <v>173</v>
      </c>
      <c r="C126" t="s">
        <v>345</v>
      </c>
      <c r="D126">
        <v>4.13</v>
      </c>
      <c r="E126">
        <v>1.52</v>
      </c>
      <c r="F126">
        <v>9.11</v>
      </c>
      <c r="G126">
        <v>17.0</v>
      </c>
      <c r="H126">
        <v>80.0</v>
      </c>
      <c r="I126">
        <v>0.0</v>
      </c>
      <c r="J126">
        <v>3.0</v>
      </c>
      <c r="K126" t="s">
        <v>356</v>
      </c>
      <c r="L126">
        <v>1140.0</v>
      </c>
      <c r="M126">
        <v>331.0</v>
      </c>
      <c r="N126" s="1">
        <f t="shared" si="2"/>
        <v>0.709649122807018</v>
      </c>
      <c r="O126" s="1">
        <f t="shared" si="3"/>
        <v>0.29035087719298247</v>
      </c>
    </row>
    <row r="127" spans="8:8">
      <c r="A127" t="s">
        <v>138</v>
      </c>
      <c r="B127" t="s">
        <v>164</v>
      </c>
      <c r="C127" t="s">
        <v>272</v>
      </c>
      <c r="D127">
        <v>1.12</v>
      </c>
      <c r="E127">
        <v>1.48</v>
      </c>
      <c r="F127">
        <v>2.44</v>
      </c>
      <c r="G127">
        <v>8.0</v>
      </c>
      <c r="H127">
        <v>92.0</v>
      </c>
      <c r="I127">
        <v>0.0</v>
      </c>
      <c r="J127">
        <v>0.0</v>
      </c>
      <c r="K127" t="s">
        <v>353</v>
      </c>
      <c r="L127">
        <v>3174.0</v>
      </c>
      <c r="M127">
        <v>2007.0</v>
      </c>
      <c r="N127" s="1">
        <f t="shared" si="2"/>
        <v>0.367674858223062</v>
      </c>
      <c r="O127" s="1">
        <f t="shared" si="3"/>
        <v>0.6323251417769377</v>
      </c>
    </row>
    <row r="128" spans="8:8">
      <c r="A128" t="s">
        <v>139</v>
      </c>
      <c r="B128" t="s">
        <v>168</v>
      </c>
      <c r="C128" t="s">
        <v>273</v>
      </c>
      <c r="D128">
        <v>20.5</v>
      </c>
      <c r="E128">
        <v>7.24</v>
      </c>
      <c r="F128">
        <v>49.46</v>
      </c>
      <c r="G128">
        <v>95.0</v>
      </c>
      <c r="H128">
        <v>5.0</v>
      </c>
      <c r="I128">
        <v>0.0</v>
      </c>
      <c r="J128">
        <v>0.0</v>
      </c>
      <c r="K128" t="s">
        <v>354</v>
      </c>
      <c r="L128">
        <v>4428.0</v>
      </c>
      <c r="M128">
        <v>1258.0</v>
      </c>
      <c r="N128" s="1">
        <f t="shared" si="2"/>
        <v>0.715898825654923</v>
      </c>
      <c r="O128" s="1">
        <f t="shared" si="3"/>
        <v>0.28410117434507676</v>
      </c>
    </row>
    <row r="129" spans="8:8">
      <c r="A129" t="s">
        <v>140</v>
      </c>
      <c r="B129" t="s">
        <v>259</v>
      </c>
      <c r="C129" t="s">
        <v>275</v>
      </c>
      <c r="D129">
        <v>0.79</v>
      </c>
      <c r="E129">
        <v>0.54</v>
      </c>
      <c r="F129">
        <v>1.71</v>
      </c>
      <c r="G129">
        <v>0.0</v>
      </c>
      <c r="H129">
        <v>0.0</v>
      </c>
      <c r="I129">
        <v>100.0</v>
      </c>
      <c r="J129">
        <v>0.0</v>
      </c>
      <c r="K129" t="s">
        <v>355</v>
      </c>
      <c r="L129">
        <v>542.0</v>
      </c>
      <c r="M129">
        <v>1.0</v>
      </c>
      <c r="N129" s="1">
        <f t="shared" si="2"/>
        <v>0.9981549815498155</v>
      </c>
      <c r="O129" s="1">
        <f t="shared" si="3"/>
        <v>0.0018450184501845018</v>
      </c>
    </row>
    <row r="130" spans="8:8">
      <c r="A130" t="s">
        <v>141</v>
      </c>
      <c r="B130" t="s">
        <v>175</v>
      </c>
      <c r="C130" t="s">
        <v>280</v>
      </c>
      <c r="D130">
        <v>-1.11</v>
      </c>
      <c r="E130">
        <v>1.79</v>
      </c>
      <c r="F130">
        <v>-2.37</v>
      </c>
      <c r="G130">
        <v>35.0</v>
      </c>
      <c r="H130">
        <v>55.0</v>
      </c>
      <c r="I130">
        <v>0.0</v>
      </c>
      <c r="J130">
        <v>10.0</v>
      </c>
      <c r="K130" t="s">
        <v>358</v>
      </c>
      <c r="L130">
        <v>8117.0</v>
      </c>
      <c r="M130">
        <v>5762.0</v>
      </c>
      <c r="N130" s="1">
        <f t="shared" si="2"/>
        <v>0.290131822101762</v>
      </c>
      <c r="O130" s="1">
        <f t="shared" si="3"/>
        <v>0.7098681778982383</v>
      </c>
    </row>
    <row r="131" spans="8:8">
      <c r="A131" t="s">
        <v>142</v>
      </c>
      <c r="B131" t="s">
        <v>178</v>
      </c>
      <c r="C131" t="s">
        <v>278</v>
      </c>
      <c r="D131">
        <v>0.99</v>
      </c>
      <c r="E131">
        <v>0.91</v>
      </c>
      <c r="F131">
        <v>2.14</v>
      </c>
      <c r="G131">
        <v>0.0</v>
      </c>
      <c r="H131">
        <v>100.0</v>
      </c>
      <c r="I131">
        <v>0.0</v>
      </c>
      <c r="J131">
        <v>0.0</v>
      </c>
      <c r="K131" t="s">
        <v>357</v>
      </c>
      <c r="L131">
        <v>2615.0</v>
      </c>
      <c r="M131">
        <v>1896.0</v>
      </c>
      <c r="N131" s="1">
        <f t="shared" si="4" ref="N131:N152">1-O131</f>
        <v>0.274952198852772</v>
      </c>
      <c r="O131" s="1">
        <f t="shared" si="5" ref="O131:O152">M131/L131</f>
        <v>0.7250478011472276</v>
      </c>
    </row>
    <row r="132" spans="8:8">
      <c r="A132" t="s">
        <v>143</v>
      </c>
      <c r="B132" t="s">
        <v>260</v>
      </c>
      <c r="C132" t="s">
        <v>275</v>
      </c>
      <c r="D132">
        <v>0.72</v>
      </c>
      <c r="E132">
        <v>0.54</v>
      </c>
      <c r="F132">
        <v>1.56</v>
      </c>
      <c r="G132">
        <v>0.0</v>
      </c>
      <c r="H132">
        <v>0.0</v>
      </c>
      <c r="I132">
        <v>100.0</v>
      </c>
      <c r="J132">
        <v>0.0</v>
      </c>
      <c r="K132" t="s">
        <v>355</v>
      </c>
      <c r="L132">
        <v>542.0</v>
      </c>
      <c r="M132">
        <v>3.0</v>
      </c>
      <c r="N132" s="1">
        <f t="shared" si="4"/>
        <v>0.9944649446494465</v>
      </c>
      <c r="O132" s="1">
        <f t="shared" si="5"/>
        <v>0.005535055350553505</v>
      </c>
    </row>
    <row r="133" spans="8:8">
      <c r="A133" t="s">
        <v>144</v>
      </c>
      <c r="B133" t="s">
        <v>261</v>
      </c>
      <c r="C133" t="s">
        <v>275</v>
      </c>
      <c r="D133">
        <v>0.8</v>
      </c>
      <c r="E133">
        <v>0.54</v>
      </c>
      <c r="F133">
        <v>1.73</v>
      </c>
      <c r="G133">
        <v>0.0</v>
      </c>
      <c r="H133">
        <v>0.0</v>
      </c>
      <c r="I133">
        <v>100.0</v>
      </c>
      <c r="J133">
        <v>0.0</v>
      </c>
      <c r="K133" t="s">
        <v>355</v>
      </c>
      <c r="L133">
        <v>542.0</v>
      </c>
      <c r="M133">
        <v>1.0</v>
      </c>
      <c r="N133" s="1">
        <f t="shared" si="4"/>
        <v>0.9981549815498155</v>
      </c>
      <c r="O133" s="1">
        <f t="shared" si="5"/>
        <v>0.0018450184501845018</v>
      </c>
    </row>
    <row r="134" spans="8:8">
      <c r="A134" t="s">
        <v>145</v>
      </c>
      <c r="B134" t="s">
        <v>262</v>
      </c>
      <c r="C134" t="s">
        <v>346</v>
      </c>
      <c r="D134">
        <v>1.38</v>
      </c>
      <c r="E134">
        <v>1.02</v>
      </c>
      <c r="F134">
        <v>3.0</v>
      </c>
      <c r="G134">
        <v>3.0</v>
      </c>
      <c r="H134">
        <v>97.0</v>
      </c>
      <c r="I134">
        <v>0.0</v>
      </c>
      <c r="J134">
        <v>0.0</v>
      </c>
      <c r="K134" t="s">
        <v>353</v>
      </c>
      <c r="L134">
        <v>3174.0</v>
      </c>
      <c r="M134">
        <v>1798.0</v>
      </c>
      <c r="N134" s="1">
        <f t="shared" si="4"/>
        <v>0.43352236925015697</v>
      </c>
      <c r="O134" s="1">
        <f t="shared" si="5"/>
        <v>0.5664776307498425</v>
      </c>
    </row>
    <row r="135" spans="8:8">
      <c r="A135" t="s">
        <v>146</v>
      </c>
      <c r="B135" t="s">
        <v>263</v>
      </c>
      <c r="C135" t="s">
        <v>328</v>
      </c>
      <c r="D135">
        <v>1.97</v>
      </c>
      <c r="E135">
        <v>1.52</v>
      </c>
      <c r="F135">
        <v>4.3</v>
      </c>
      <c r="G135">
        <v>10.0</v>
      </c>
      <c r="H135">
        <v>90.0</v>
      </c>
      <c r="I135">
        <v>0.0</v>
      </c>
      <c r="J135">
        <v>0.0</v>
      </c>
      <c r="K135" t="s">
        <v>353</v>
      </c>
      <c r="L135">
        <v>3174.0</v>
      </c>
      <c r="M135">
        <v>1411.0</v>
      </c>
      <c r="N135" s="1">
        <f t="shared" si="4"/>
        <v>0.555450535601764</v>
      </c>
      <c r="O135" s="1">
        <f t="shared" si="5"/>
        <v>0.44454946439823567</v>
      </c>
    </row>
    <row r="136" spans="8:8">
      <c r="A136" t="s">
        <v>147</v>
      </c>
      <c r="B136" t="s">
        <v>264</v>
      </c>
      <c r="C136" t="s">
        <v>347</v>
      </c>
      <c r="D136">
        <v>1.62</v>
      </c>
      <c r="E136">
        <v>1.16</v>
      </c>
      <c r="F136">
        <v>3.52</v>
      </c>
      <c r="G136">
        <v>5.0</v>
      </c>
      <c r="H136">
        <v>95.0</v>
      </c>
      <c r="I136">
        <v>0.0</v>
      </c>
      <c r="J136">
        <v>0.0</v>
      </c>
      <c r="K136" t="s">
        <v>353</v>
      </c>
      <c r="L136">
        <v>3174.0</v>
      </c>
      <c r="M136">
        <v>1634.0</v>
      </c>
      <c r="N136" s="1">
        <f t="shared" si="4"/>
        <v>0.48519218651543805</v>
      </c>
      <c r="O136" s="1">
        <f t="shared" si="5"/>
        <v>0.5148078134845621</v>
      </c>
    </row>
    <row r="137" spans="8:8">
      <c r="A137" t="s">
        <v>148</v>
      </c>
      <c r="B137" t="s">
        <v>265</v>
      </c>
      <c r="C137" t="s">
        <v>273</v>
      </c>
      <c r="D137">
        <v>13.97</v>
      </c>
      <c r="E137">
        <v>7.24</v>
      </c>
      <c r="F137">
        <v>32.54</v>
      </c>
      <c r="G137">
        <v>95.0</v>
      </c>
      <c r="H137">
        <v>5.0</v>
      </c>
      <c r="I137">
        <v>0.0</v>
      </c>
      <c r="J137">
        <v>0.0</v>
      </c>
      <c r="K137" t="s">
        <v>354</v>
      </c>
      <c r="L137">
        <v>4428.0</v>
      </c>
      <c r="M137">
        <v>1657.0</v>
      </c>
      <c r="N137" s="1">
        <f t="shared" si="4"/>
        <v>0.625790424570912</v>
      </c>
      <c r="O137" s="1">
        <f t="shared" si="5"/>
        <v>0.3742095754290876</v>
      </c>
    </row>
    <row r="138" spans="8:8">
      <c r="A138" t="s">
        <v>149</v>
      </c>
      <c r="B138" t="s">
        <v>266</v>
      </c>
      <c r="C138" t="s">
        <v>286</v>
      </c>
      <c r="D138">
        <v>7.88</v>
      </c>
      <c r="E138">
        <v>3.02</v>
      </c>
      <c r="F138">
        <v>17.76</v>
      </c>
      <c r="G138">
        <v>30.0</v>
      </c>
      <c r="H138">
        <v>70.0</v>
      </c>
      <c r="I138">
        <v>0.0</v>
      </c>
      <c r="J138">
        <v>0.0</v>
      </c>
      <c r="K138" t="s">
        <v>356</v>
      </c>
      <c r="L138">
        <v>1140.0</v>
      </c>
      <c r="M138">
        <v>167.0</v>
      </c>
      <c r="N138" s="1">
        <f t="shared" si="4"/>
        <v>0.853508771929825</v>
      </c>
      <c r="O138" s="1">
        <f t="shared" si="5"/>
        <v>0.14649122807017545</v>
      </c>
    </row>
    <row r="139" spans="8:8">
      <c r="A139" t="s">
        <v>150</v>
      </c>
      <c r="B139" t="s">
        <v>267</v>
      </c>
      <c r="C139" t="s">
        <v>285</v>
      </c>
      <c r="D139">
        <v>2.16</v>
      </c>
      <c r="E139">
        <v>1.62</v>
      </c>
      <c r="F139">
        <v>4.72</v>
      </c>
      <c r="G139">
        <v>10.0</v>
      </c>
      <c r="H139">
        <v>90.0</v>
      </c>
      <c r="I139">
        <v>0.0</v>
      </c>
      <c r="J139">
        <v>0.0</v>
      </c>
      <c r="K139" t="s">
        <v>353</v>
      </c>
      <c r="L139">
        <v>3174.0</v>
      </c>
      <c r="M139">
        <v>1313.0</v>
      </c>
      <c r="N139" s="1">
        <f t="shared" si="4"/>
        <v>0.586326402016383</v>
      </c>
      <c r="O139" s="1">
        <f t="shared" si="5"/>
        <v>0.4136735979836169</v>
      </c>
    </row>
    <row r="140" spans="8:8">
      <c r="A140" t="s">
        <v>151</v>
      </c>
      <c r="B140" t="s">
        <v>268</v>
      </c>
      <c r="C140" t="s">
        <v>348</v>
      </c>
      <c r="D140">
        <v>3.62</v>
      </c>
      <c r="E140">
        <v>1.73</v>
      </c>
      <c r="F140">
        <v>7.96</v>
      </c>
      <c r="G140">
        <v>10.0</v>
      </c>
      <c r="H140">
        <v>87.0</v>
      </c>
      <c r="I140">
        <v>0.0</v>
      </c>
      <c r="J140">
        <v>3.0</v>
      </c>
      <c r="K140" t="s">
        <v>353</v>
      </c>
      <c r="L140">
        <v>3174.0</v>
      </c>
      <c r="M140">
        <v>831.0</v>
      </c>
      <c r="N140" s="1">
        <f t="shared" si="4"/>
        <v>0.738185255198488</v>
      </c>
      <c r="O140" s="1">
        <f t="shared" si="5"/>
        <v>0.2618147448015123</v>
      </c>
    </row>
    <row r="141" spans="8:8">
      <c r="A141" t="s">
        <v>152</v>
      </c>
      <c r="B141" t="s">
        <v>183</v>
      </c>
      <c r="C141" t="s">
        <v>285</v>
      </c>
      <c r="D141">
        <v>2.98</v>
      </c>
      <c r="E141">
        <v>1.62</v>
      </c>
      <c r="F141">
        <v>6.54</v>
      </c>
      <c r="G141">
        <v>10.0</v>
      </c>
      <c r="H141">
        <v>90.0</v>
      </c>
      <c r="I141">
        <v>0.0</v>
      </c>
      <c r="J141">
        <v>0.0</v>
      </c>
      <c r="K141" t="s">
        <v>353</v>
      </c>
      <c r="L141">
        <v>3174.0</v>
      </c>
      <c r="M141">
        <v>1002.0</v>
      </c>
      <c r="N141" s="1">
        <f t="shared" si="4"/>
        <v>0.684310018903592</v>
      </c>
      <c r="O141" s="1">
        <f t="shared" si="5"/>
        <v>0.31568998109640833</v>
      </c>
    </row>
    <row r="142" spans="8:8">
      <c r="A142" t="s">
        <v>153</v>
      </c>
      <c r="B142" t="s">
        <v>247</v>
      </c>
      <c r="C142" t="s">
        <v>349</v>
      </c>
      <c r="D142">
        <v>0.87</v>
      </c>
      <c r="E142">
        <v>0.63</v>
      </c>
      <c r="F142">
        <v>1.88</v>
      </c>
      <c r="G142">
        <v>0.0</v>
      </c>
      <c r="H142">
        <v>20.0</v>
      </c>
      <c r="I142">
        <v>80.0</v>
      </c>
      <c r="J142">
        <v>0.0</v>
      </c>
      <c r="K142" t="s">
        <v>355</v>
      </c>
      <c r="L142">
        <v>542.0</v>
      </c>
      <c r="M142">
        <v>1.0</v>
      </c>
      <c r="N142" s="1">
        <f t="shared" si="4"/>
        <v>0.9981549815498155</v>
      </c>
      <c r="O142" s="1">
        <f t="shared" si="5"/>
        <v>0.0018450184501845018</v>
      </c>
    </row>
    <row r="143" spans="8:8">
      <c r="A143" t="s">
        <v>154</v>
      </c>
      <c r="B143" t="s">
        <v>164</v>
      </c>
      <c r="C143" t="s">
        <v>350</v>
      </c>
      <c r="D143">
        <v>1.2</v>
      </c>
      <c r="E143">
        <v>1.48</v>
      </c>
      <c r="F143">
        <v>2.61</v>
      </c>
      <c r="G143">
        <v>8.0</v>
      </c>
      <c r="H143">
        <v>92.0</v>
      </c>
      <c r="I143">
        <v>0.0</v>
      </c>
      <c r="J143">
        <v>0.0</v>
      </c>
      <c r="K143" t="s">
        <v>353</v>
      </c>
      <c r="L143">
        <v>3174.0</v>
      </c>
      <c r="M143">
        <v>1954.0</v>
      </c>
      <c r="N143" s="1">
        <f t="shared" si="4"/>
        <v>0.38437303087586605</v>
      </c>
      <c r="O143" s="1">
        <f t="shared" si="5"/>
        <v>0.6156269691241336</v>
      </c>
    </row>
    <row r="144" spans="8:8">
      <c r="A144" t="s">
        <v>155</v>
      </c>
      <c r="B144" t="s">
        <v>168</v>
      </c>
      <c r="C144" t="s">
        <v>273</v>
      </c>
      <c r="D144">
        <v>18.36</v>
      </c>
      <c r="E144">
        <v>7.24</v>
      </c>
      <c r="F144">
        <v>43.81</v>
      </c>
      <c r="G144">
        <v>95.0</v>
      </c>
      <c r="H144">
        <v>5.0</v>
      </c>
      <c r="I144">
        <v>0.0</v>
      </c>
      <c r="J144">
        <v>0.0</v>
      </c>
      <c r="K144" t="s">
        <v>354</v>
      </c>
      <c r="L144">
        <v>4428.0</v>
      </c>
      <c r="M144">
        <v>1403.0</v>
      </c>
      <c r="N144" s="1">
        <f t="shared" si="4"/>
        <v>0.6831526648599819</v>
      </c>
      <c r="O144" s="1">
        <f t="shared" si="5"/>
        <v>0.31684733514001806</v>
      </c>
    </row>
    <row r="145" spans="8:8">
      <c r="A145" t="s">
        <v>156</v>
      </c>
      <c r="B145" t="s">
        <v>183</v>
      </c>
      <c r="C145" t="s">
        <v>285</v>
      </c>
      <c r="D145">
        <v>3.29</v>
      </c>
      <c r="E145">
        <v>1.62</v>
      </c>
      <c r="F145">
        <v>7.22</v>
      </c>
      <c r="G145">
        <v>10.0</v>
      </c>
      <c r="H145">
        <v>90.0</v>
      </c>
      <c r="I145">
        <v>0.0</v>
      </c>
      <c r="J145">
        <v>0.0</v>
      </c>
      <c r="K145" t="s">
        <v>353</v>
      </c>
      <c r="L145">
        <v>3174.0</v>
      </c>
      <c r="M145">
        <v>910.0</v>
      </c>
      <c r="N145" s="1">
        <f t="shared" si="4"/>
        <v>0.713295526149968</v>
      </c>
      <c r="O145" s="1">
        <f t="shared" si="5"/>
        <v>0.2867044738500315</v>
      </c>
    </row>
    <row r="146" spans="8:8">
      <c r="A146" t="s">
        <v>157</v>
      </c>
      <c r="B146" t="s">
        <v>184</v>
      </c>
      <c r="C146" t="s">
        <v>286</v>
      </c>
      <c r="D146">
        <v>6.15</v>
      </c>
      <c r="E146">
        <v>3.02</v>
      </c>
      <c r="F146">
        <v>13.72</v>
      </c>
      <c r="G146">
        <v>30.0</v>
      </c>
      <c r="H146">
        <v>70.0</v>
      </c>
      <c r="I146">
        <v>0.0</v>
      </c>
      <c r="J146">
        <v>0.0</v>
      </c>
      <c r="K146" t="s">
        <v>356</v>
      </c>
      <c r="L146">
        <v>1140.0</v>
      </c>
      <c r="M146">
        <v>214.0</v>
      </c>
      <c r="N146" s="1">
        <f t="shared" si="4"/>
        <v>0.812280701754386</v>
      </c>
      <c r="O146" s="1">
        <f t="shared" si="5"/>
        <v>0.18771929824561404</v>
      </c>
    </row>
    <row r="147" spans="8:8">
      <c r="A147" t="s">
        <v>158</v>
      </c>
      <c r="B147" t="s">
        <v>169</v>
      </c>
      <c r="C147" t="s">
        <v>276</v>
      </c>
      <c r="D147">
        <v>27.49</v>
      </c>
      <c r="E147">
        <v>6.94</v>
      </c>
      <c r="F147">
        <v>68.78</v>
      </c>
      <c r="G147">
        <v>90.0</v>
      </c>
      <c r="H147">
        <v>10.0</v>
      </c>
      <c r="I147">
        <v>0.0</v>
      </c>
      <c r="J147">
        <v>0.0</v>
      </c>
      <c r="K147" t="s">
        <v>354</v>
      </c>
      <c r="L147">
        <v>4428.0</v>
      </c>
      <c r="M147">
        <v>1010.0</v>
      </c>
      <c r="N147" s="1">
        <f t="shared" si="4"/>
        <v>0.771906052393857</v>
      </c>
      <c r="O147" s="1">
        <f t="shared" si="5"/>
        <v>0.22809394760614274</v>
      </c>
    </row>
    <row r="148" spans="8:8">
      <c r="A148" t="s">
        <v>159</v>
      </c>
      <c r="B148" t="s">
        <v>247</v>
      </c>
      <c r="C148" t="s">
        <v>275</v>
      </c>
      <c r="D148">
        <v>0.8</v>
      </c>
      <c r="E148">
        <v>0.54</v>
      </c>
      <c r="F148">
        <v>1.74</v>
      </c>
      <c r="G148">
        <v>0.0</v>
      </c>
      <c r="H148">
        <v>0.0</v>
      </c>
      <c r="I148">
        <v>100.0</v>
      </c>
      <c r="J148">
        <v>0.0</v>
      </c>
      <c r="K148" t="s">
        <v>355</v>
      </c>
      <c r="L148">
        <v>542.0</v>
      </c>
      <c r="M148">
        <v>1.0</v>
      </c>
      <c r="N148" s="1">
        <f t="shared" si="4"/>
        <v>0.9981549815498155</v>
      </c>
      <c r="O148" s="1">
        <f t="shared" si="5"/>
        <v>0.0018450184501845018</v>
      </c>
    </row>
    <row r="149" spans="8:8">
      <c r="A149" t="s">
        <v>160</v>
      </c>
      <c r="B149" t="s">
        <v>168</v>
      </c>
      <c r="C149" t="s">
        <v>273</v>
      </c>
      <c r="D149">
        <v>10.99</v>
      </c>
      <c r="E149">
        <v>7.24</v>
      </c>
      <c r="F149">
        <v>25.2</v>
      </c>
      <c r="G149">
        <v>95.0</v>
      </c>
      <c r="H149">
        <v>5.0</v>
      </c>
      <c r="I149">
        <v>0.0</v>
      </c>
      <c r="J149">
        <v>0.0</v>
      </c>
      <c r="K149" t="s">
        <v>354</v>
      </c>
      <c r="L149">
        <v>4428.0</v>
      </c>
      <c r="M149">
        <v>1983.0</v>
      </c>
      <c r="N149" s="1">
        <f t="shared" si="4"/>
        <v>0.552168021680217</v>
      </c>
      <c r="O149" s="1">
        <f t="shared" si="5"/>
        <v>0.4478319783197832</v>
      </c>
    </row>
    <row r="150" spans="8:8">
      <c r="A150" t="s">
        <v>161</v>
      </c>
      <c r="B150" t="s">
        <v>269</v>
      </c>
      <c r="C150" t="s">
        <v>275</v>
      </c>
      <c r="D150">
        <v>0.61</v>
      </c>
      <c r="E150">
        <v>0.54</v>
      </c>
      <c r="F150">
        <v>1.24</v>
      </c>
      <c r="G150">
        <v>0.0</v>
      </c>
      <c r="H150">
        <v>0.0</v>
      </c>
      <c r="I150">
        <v>100.0</v>
      </c>
      <c r="J150">
        <v>0.0</v>
      </c>
      <c r="K150" t="s">
        <v>355</v>
      </c>
      <c r="L150">
        <v>542.0</v>
      </c>
      <c r="M150">
        <v>219.0</v>
      </c>
      <c r="N150" s="1">
        <f t="shared" si="4"/>
        <v>0.595940959409594</v>
      </c>
      <c r="O150" s="1">
        <f t="shared" si="5"/>
        <v>0.4040590405904059</v>
      </c>
    </row>
    <row r="151" spans="8:8">
      <c r="A151" t="s">
        <v>162</v>
      </c>
      <c r="B151" t="s">
        <v>270</v>
      </c>
      <c r="C151" t="s">
        <v>351</v>
      </c>
      <c r="D151">
        <v>-0.14</v>
      </c>
      <c r="E151">
        <v>0.19</v>
      </c>
      <c r="F151">
        <v>-0.35</v>
      </c>
      <c r="G151">
        <v>10.0</v>
      </c>
      <c r="H151">
        <v>85.0</v>
      </c>
      <c r="I151">
        <v>0.0</v>
      </c>
      <c r="J151">
        <v>5.0</v>
      </c>
      <c r="K151" t="s">
        <v>353</v>
      </c>
      <c r="L151">
        <v>3174.0</v>
      </c>
      <c r="M151">
        <v>2606.0</v>
      </c>
      <c r="N151" s="1">
        <f t="shared" si="4"/>
        <v>0.17895400126023897</v>
      </c>
      <c r="O151" s="1">
        <f t="shared" si="5"/>
        <v>0.8210459987397606</v>
      </c>
    </row>
    <row r="152" spans="8:8">
      <c r="A152" t="s">
        <v>163</v>
      </c>
      <c r="B152" t="s">
        <v>271</v>
      </c>
      <c r="C152" t="s">
        <v>352</v>
      </c>
      <c r="D152">
        <v>4.44</v>
      </c>
      <c r="E152">
        <v>1.98</v>
      </c>
      <c r="F152">
        <v>9.81</v>
      </c>
      <c r="G152">
        <v>15.0</v>
      </c>
      <c r="H152">
        <v>85.0</v>
      </c>
      <c r="I152">
        <v>0.0</v>
      </c>
      <c r="J152">
        <v>0.0</v>
      </c>
      <c r="K152" t="s">
        <v>356</v>
      </c>
      <c r="L152">
        <v>1140.0</v>
      </c>
      <c r="M152">
        <v>301.0</v>
      </c>
      <c r="N152" s="1">
        <f t="shared" si="4"/>
        <v>0.7359649122807019</v>
      </c>
      <c r="O152" s="1">
        <f t="shared" si="5"/>
        <v>0.26403508771929823</v>
      </c>
    </row>
  </sheetData>
  <conditionalFormatting sqref="N2:N152">
    <cfRule type="dataBar" priority="2">
      <dataBar>
        <cfvo type="min"/>
        <cfvo type="max"/>
        <color rgb="FFFF555A"/>
      </dataBar>
    </cfRule>
    <cfRule type="colorScale" priority="3">
      <colorScale>
        <cfvo type="min"/>
        <cfvo type="percentile" val="50.0"/>
        <cfvo type="max"/>
        <color rgb="FF63BE7B"/>
        <color rgb="FFFFEB84"/>
        <color rgb="FFF8696B"/>
      </colorScale>
    </cfRule>
    <cfRule type="dataBar" priority="32767">
      <dataBar maxLength="100" minLength="0">
        <cfvo type="min"/>
        <cfvo type="max"/>
        <color rgb="FF000000"/>
      </dataBar>
    </cfRule>
  </conditionalFormatting>
  <conditionalFormatting sqref="O2:O152">
    <cfRule type="colorScale" priority="1">
      <colorScale>
        <cfvo type="min"/>
        <cfvo type="percentile" val="50.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:J9"/>
  <sheetViews>
    <sheetView workbookViewId="0">
      <selection activeCell="A1" sqref="A1"/>
    </sheetView>
  </sheetViews>
  <sheetFormatPr defaultRowHeight="13.5" defaultColWidth="10"/>
  <cols>
    <col min="1" max="1" customWidth="1" width="14.75" style="0"/>
    <col min="2" max="2" customWidth="1" width="8.75" style="0"/>
    <col min="3" max="3" customWidth="1" width="38.75" style="0"/>
    <col min="4" max="5" customWidth="1" width="12.75" style="0"/>
    <col min="6" max="9" customWidth="1" width="14.75" style="0"/>
  </cols>
  <sheetData>
    <row r="1" spans="8:8">
      <c r="A1" s="5" t="s">
        <v>10</v>
      </c>
      <c r="B1" s="5" t="s">
        <v>361</v>
      </c>
      <c r="C1" s="5" t="s">
        <v>362</v>
      </c>
      <c r="D1" s="5" t="s">
        <v>11</v>
      </c>
      <c r="E1" s="5" t="s">
        <v>363</v>
      </c>
      <c r="F1" s="5" t="s">
        <v>364</v>
      </c>
      <c r="G1" s="5" t="s">
        <v>365</v>
      </c>
      <c r="H1" s="5" t="s">
        <v>366</v>
      </c>
      <c r="I1" s="5" t="s">
        <v>367</v>
      </c>
    </row>
    <row r="2" spans="8:8">
      <c r="A2" t="s">
        <v>353</v>
      </c>
      <c r="B2">
        <v>38.0</v>
      </c>
      <c r="C2" t="s">
        <v>368</v>
      </c>
      <c r="D2">
        <v>3174.0</v>
      </c>
      <c r="E2">
        <v>1.97</v>
      </c>
      <c r="F2">
        <v>52.5</v>
      </c>
      <c r="G2">
        <v>52.4</v>
      </c>
      <c r="H2">
        <v>77.9</v>
      </c>
      <c r="I2">
        <v>17.9</v>
      </c>
    </row>
    <row r="3" spans="8:8">
      <c r="A3" t="s">
        <v>356</v>
      </c>
      <c r="B3">
        <v>33.0</v>
      </c>
      <c r="C3" t="s">
        <v>369</v>
      </c>
      <c r="D3">
        <v>1140.0</v>
      </c>
      <c r="E3">
        <v>4.13</v>
      </c>
      <c r="F3">
        <v>65.9</v>
      </c>
      <c r="G3">
        <v>69.0</v>
      </c>
      <c r="H3">
        <v>89.2</v>
      </c>
      <c r="I3">
        <v>28.2</v>
      </c>
    </row>
    <row r="4" spans="8:8">
      <c r="A4" t="s">
        <v>359</v>
      </c>
      <c r="B4">
        <v>1.0</v>
      </c>
      <c r="C4" t="s">
        <v>370</v>
      </c>
      <c r="D4">
        <v>4691.0</v>
      </c>
      <c r="E4">
        <v>9.37</v>
      </c>
      <c r="F4">
        <v>46.3</v>
      </c>
      <c r="G4">
        <v>46.3</v>
      </c>
      <c r="H4">
        <v>46.3</v>
      </c>
      <c r="I4">
        <v>46.3</v>
      </c>
    </row>
    <row r="5" spans="8:8">
      <c r="A5" t="s">
        <v>360</v>
      </c>
      <c r="B5">
        <v>1.0</v>
      </c>
      <c r="C5" t="s">
        <v>371</v>
      </c>
      <c r="D5">
        <v>46.0</v>
      </c>
      <c r="E5">
        <v>-9.53</v>
      </c>
      <c r="F5">
        <v>73.9</v>
      </c>
      <c r="G5">
        <v>73.9</v>
      </c>
      <c r="H5">
        <v>73.9</v>
      </c>
      <c r="I5">
        <v>73.9</v>
      </c>
    </row>
    <row r="6" spans="8:8">
      <c r="A6" t="s">
        <v>358</v>
      </c>
      <c r="B6">
        <v>15.0</v>
      </c>
      <c r="C6" t="s">
        <v>372</v>
      </c>
      <c r="D6">
        <v>8117.0</v>
      </c>
      <c r="E6">
        <v>6.68</v>
      </c>
      <c r="F6">
        <v>47.7</v>
      </c>
      <c r="G6">
        <v>51.7</v>
      </c>
      <c r="H6">
        <v>60.9</v>
      </c>
      <c r="I6">
        <v>29.0</v>
      </c>
    </row>
    <row r="7" spans="8:8">
      <c r="A7" t="s">
        <v>357</v>
      </c>
      <c r="B7">
        <v>7.0</v>
      </c>
      <c r="C7" t="s">
        <v>373</v>
      </c>
      <c r="D7">
        <v>2615.0</v>
      </c>
      <c r="E7">
        <v>0.82</v>
      </c>
      <c r="F7">
        <v>35.6</v>
      </c>
      <c r="G7">
        <v>27.5</v>
      </c>
      <c r="H7">
        <v>82.9</v>
      </c>
      <c r="I7">
        <v>0.0</v>
      </c>
    </row>
    <row r="8" spans="8:8">
      <c r="A8" t="s">
        <v>354</v>
      </c>
      <c r="B8">
        <v>38.0</v>
      </c>
      <c r="C8" t="s">
        <v>374</v>
      </c>
      <c r="D8">
        <v>4428.0</v>
      </c>
      <c r="E8">
        <v>16.58</v>
      </c>
      <c r="F8">
        <v>60.9</v>
      </c>
      <c r="G8">
        <v>67.7</v>
      </c>
      <c r="H8">
        <v>93.9</v>
      </c>
      <c r="I8">
        <v>12.9</v>
      </c>
    </row>
    <row r="9" spans="8:8">
      <c r="A9" t="s">
        <v>355</v>
      </c>
      <c r="B9">
        <v>18.0</v>
      </c>
      <c r="C9" t="s">
        <v>375</v>
      </c>
      <c r="D9">
        <v>542.0</v>
      </c>
      <c r="E9">
        <v>0.84</v>
      </c>
      <c r="F9">
        <v>91.7</v>
      </c>
      <c r="G9">
        <v>99.8</v>
      </c>
      <c r="H9">
        <v>99.8</v>
      </c>
      <c r="I9">
        <v>0.0</v>
      </c>
    </row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:E42"/>
  <sheetViews>
    <sheetView workbookViewId="0">
      <selection activeCell="A42" sqref="A42"/>
    </sheetView>
  </sheetViews>
  <sheetFormatPr defaultRowHeight="13.5" defaultColWidth="10"/>
  <cols>
    <col min="1" max="1" customWidth="1" width="80.75" style="0"/>
    <col min="2" max="4" customWidth="1" width="30.75" style="0"/>
  </cols>
  <sheetData>
    <row r="1" spans="8:8">
      <c r="A1" s="5">
        <v>0.0</v>
      </c>
      <c r="B1" s="5">
        <v>1.0</v>
      </c>
      <c r="C1" s="5">
        <v>2.0</v>
      </c>
      <c r="D1" s="5">
        <v>3.0</v>
      </c>
    </row>
    <row r="2" spans="8:8">
      <c r="A2" t="s">
        <v>376</v>
      </c>
    </row>
    <row r="4" spans="8:8">
      <c r="A4" t="s">
        <v>377</v>
      </c>
    </row>
    <row r="5" spans="8:8">
      <c r="A5" t="s">
        <v>378</v>
      </c>
    </row>
    <row r="6" spans="8:8">
      <c r="A6" t="s">
        <v>379</v>
      </c>
      <c r="B6" t="s">
        <v>362</v>
      </c>
      <c r="C6" t="s">
        <v>412</v>
      </c>
      <c r="D6" t="s">
        <v>419</v>
      </c>
    </row>
    <row r="7" spans="8:8">
      <c r="A7" t="s">
        <v>380</v>
      </c>
      <c r="B7" t="s">
        <v>355</v>
      </c>
      <c r="C7" t="s">
        <v>413</v>
      </c>
      <c r="D7" t="s">
        <v>420</v>
      </c>
    </row>
    <row r="8" spans="8:8">
      <c r="A8" t="s">
        <v>381</v>
      </c>
      <c r="B8" t="s">
        <v>357</v>
      </c>
      <c r="C8" t="s">
        <v>414</v>
      </c>
      <c r="D8" t="s">
        <v>421</v>
      </c>
    </row>
    <row r="9" spans="8:8">
      <c r="A9" t="s">
        <v>382</v>
      </c>
      <c r="B9" t="s">
        <v>353</v>
      </c>
      <c r="C9" t="s">
        <v>415</v>
      </c>
      <c r="D9" t="s">
        <v>422</v>
      </c>
    </row>
    <row r="10" spans="8:8">
      <c r="A10" t="s">
        <v>383</v>
      </c>
      <c r="B10" t="s">
        <v>356</v>
      </c>
      <c r="C10" t="s">
        <v>369</v>
      </c>
      <c r="D10" t="s">
        <v>423</v>
      </c>
    </row>
    <row r="11" spans="8:8">
      <c r="A11" t="s">
        <v>384</v>
      </c>
      <c r="B11" t="s">
        <v>358</v>
      </c>
      <c r="C11" t="s">
        <v>416</v>
      </c>
      <c r="D11" t="s">
        <v>424</v>
      </c>
    </row>
    <row r="12" spans="8:8">
      <c r="A12" t="s">
        <v>385</v>
      </c>
      <c r="B12" t="s">
        <v>359</v>
      </c>
      <c r="C12" t="s">
        <v>370</v>
      </c>
      <c r="D12" t="s">
        <v>425</v>
      </c>
    </row>
    <row r="13" spans="8:8">
      <c r="A13" t="s">
        <v>386</v>
      </c>
      <c r="B13" t="s">
        <v>354</v>
      </c>
      <c r="C13" t="s">
        <v>417</v>
      </c>
      <c r="D13" t="s">
        <v>426</v>
      </c>
    </row>
    <row r="14" spans="8:8">
      <c r="A14" t="s">
        <v>387</v>
      </c>
      <c r="B14" t="s">
        <v>360</v>
      </c>
      <c r="C14" t="s">
        <v>418</v>
      </c>
      <c r="D14" t="s">
        <v>427</v>
      </c>
    </row>
    <row r="16" spans="8:8">
      <c r="A16" t="s">
        <v>388</v>
      </c>
    </row>
    <row r="17" spans="8:8">
      <c r="A17" t="s">
        <v>389</v>
      </c>
    </row>
    <row r="18" spans="8:8">
      <c r="A18" t="s">
        <v>390</v>
      </c>
    </row>
    <row r="19" spans="8:8">
      <c r="A19" t="s">
        <v>391</v>
      </c>
    </row>
    <row r="20" spans="8:8">
      <c r="A20" t="s">
        <v>392</v>
      </c>
    </row>
    <row r="22" spans="8:8">
      <c r="A22" t="s">
        <v>393</v>
      </c>
    </row>
    <row r="23" spans="8:8">
      <c r="A23" t="s">
        <v>394</v>
      </c>
    </row>
    <row r="24" spans="8:8">
      <c r="A24" t="s">
        <v>395</v>
      </c>
    </row>
    <row r="25" spans="8:8">
      <c r="A25" t="s">
        <v>396</v>
      </c>
    </row>
    <row r="26" spans="8:8">
      <c r="A26" t="s">
        <v>397</v>
      </c>
    </row>
    <row r="27" spans="8:8">
      <c r="A27" t="s">
        <v>398</v>
      </c>
    </row>
    <row r="29" spans="8:8">
      <c r="A29" t="s">
        <v>399</v>
      </c>
    </row>
    <row r="30" spans="8:8">
      <c r="A30" t="s">
        <v>400</v>
      </c>
    </row>
    <row r="31" spans="8:8">
      <c r="A31" t="s">
        <v>401</v>
      </c>
    </row>
    <row r="32" spans="8:8">
      <c r="A32" t="s">
        <v>402</v>
      </c>
    </row>
    <row r="33" spans="8:8">
      <c r="A33" t="s">
        <v>403</v>
      </c>
    </row>
    <row r="34" spans="8:8">
      <c r="A34" t="s">
        <v>404</v>
      </c>
    </row>
    <row r="36" spans="8:8">
      <c r="A36" t="s">
        <v>405</v>
      </c>
    </row>
    <row r="37" spans="8:8">
      <c r="A37" t="s">
        <v>406</v>
      </c>
    </row>
    <row r="38" spans="8:8">
      <c r="A38" t="s">
        <v>407</v>
      </c>
    </row>
    <row r="39" spans="8:8">
      <c r="A39" t="s">
        <v>408</v>
      </c>
    </row>
    <row r="40" spans="8:8">
      <c r="A40" t="s">
        <v>409</v>
      </c>
    </row>
    <row r="41" spans="8:8">
      <c r="A41" t="s">
        <v>410</v>
      </c>
    </row>
    <row r="42" spans="8:8">
      <c r="A42" t="s">
        <v>411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Kingsoft Office</Application>
  <DocSecurity>0</DocSecurity>
  <ScaleCrop>0</ScaleCrop>
  <LinksUpToDate>0</LinksUpToDate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PLR-AL30</dc:creator>
  <cp:lastModifiedBy>陈慧玲</cp:lastModifiedBy>
  <dcterms:created xsi:type="dcterms:W3CDTF">2026-07-01T01:56:19Z</dcterms:created>
  <dcterms:modified xsi:type="dcterms:W3CDTF">2026-07-02T01:15:26Z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3287b8961fe04a90b1e5a600935fa580_23</vt:lpwstr>
  </property>
</Properties>
</file>