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synctingDataToWork\全市场投顾分析平台\basic_data\reports\"/>
    </mc:Choice>
  </mc:AlternateContent>
  <xr:revisionPtr revIDLastSave="0" documentId="13_ncr:1_{6A87B150-66C3-4072-8C39-592B0DCD485F}" xr6:coauthVersionLast="47" xr6:coauthVersionMax="47" xr10:uidLastSave="{00000000-0000-0000-0000-000000000000}"/>
  <bookViews>
    <workbookView xWindow="-108" yWindow="-108" windowWidth="23256" windowHeight="13896" xr2:uid="{00000000-000D-0000-FFFF-FFFF00000000}"/>
  </bookViews>
  <sheets>
    <sheet name="投顾组合排名" sheetId="1" r:id="rId1"/>
    <sheet name="分类汇总" sheetId="2" r:id="rId2"/>
    <sheet name="计算说明" sheetId="3" r:id="rId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43" i="1" l="1"/>
  <c r="N1143" i="1"/>
  <c r="O1142" i="1"/>
  <c r="N1142" i="1"/>
  <c r="O1141" i="1"/>
  <c r="N1141" i="1"/>
  <c r="O1140" i="1"/>
  <c r="N1140" i="1"/>
  <c r="O1139" i="1"/>
  <c r="N1139" i="1"/>
  <c r="O1138" i="1"/>
  <c r="N1138" i="1"/>
  <c r="O1137" i="1"/>
  <c r="N1137" i="1"/>
  <c r="O1136" i="1"/>
  <c r="N1136" i="1"/>
  <c r="O1135" i="1"/>
  <c r="N1135" i="1"/>
  <c r="O1134" i="1"/>
  <c r="N1134" i="1"/>
  <c r="O1133" i="1"/>
  <c r="N1133" i="1"/>
  <c r="O1132" i="1"/>
  <c r="N1132" i="1"/>
  <c r="O1131" i="1"/>
  <c r="N1131" i="1"/>
  <c r="O1130" i="1"/>
  <c r="N1130" i="1"/>
  <c r="O1129" i="1"/>
  <c r="N1129" i="1"/>
  <c r="O1128" i="1"/>
  <c r="N1128" i="1"/>
  <c r="O1127" i="1"/>
  <c r="N1127" i="1"/>
  <c r="O1126" i="1"/>
  <c r="N1126" i="1"/>
  <c r="O1125" i="1"/>
  <c r="N1125" i="1"/>
  <c r="O1124" i="1"/>
  <c r="N1124" i="1"/>
  <c r="O1123" i="1"/>
  <c r="N1123" i="1"/>
  <c r="O1122" i="1"/>
  <c r="N1122" i="1"/>
  <c r="O1121" i="1"/>
  <c r="N1121" i="1"/>
  <c r="O1120" i="1"/>
  <c r="N1120" i="1"/>
  <c r="O1119" i="1"/>
  <c r="N1119" i="1"/>
  <c r="O1118" i="1"/>
  <c r="N1118" i="1"/>
  <c r="O1117" i="1"/>
  <c r="N1117" i="1"/>
  <c r="O1116" i="1"/>
  <c r="N1116" i="1"/>
  <c r="O1115" i="1"/>
  <c r="N1115" i="1"/>
  <c r="O1114" i="1"/>
  <c r="N1114" i="1"/>
  <c r="O1113" i="1"/>
  <c r="N1113" i="1"/>
  <c r="O1112" i="1"/>
  <c r="N1112" i="1"/>
  <c r="O1111" i="1"/>
  <c r="N1111" i="1"/>
  <c r="O1110" i="1"/>
  <c r="N1110" i="1"/>
  <c r="O1109" i="1"/>
  <c r="N1109" i="1"/>
  <c r="O1108" i="1"/>
  <c r="N1108" i="1"/>
  <c r="O1107" i="1"/>
  <c r="N1107" i="1"/>
  <c r="O1106" i="1"/>
  <c r="N1106" i="1"/>
  <c r="O1105" i="1"/>
  <c r="N1105" i="1"/>
  <c r="O1104" i="1"/>
  <c r="N1104" i="1"/>
  <c r="O1103" i="1"/>
  <c r="N1103" i="1"/>
  <c r="O1102" i="1"/>
  <c r="N1102" i="1"/>
  <c r="O1101" i="1"/>
  <c r="N1101" i="1"/>
  <c r="O1100" i="1"/>
  <c r="N1100" i="1"/>
  <c r="O1099" i="1"/>
  <c r="N1099" i="1"/>
  <c r="O1098" i="1"/>
  <c r="N1098" i="1"/>
  <c r="O1097" i="1"/>
  <c r="N1097" i="1"/>
  <c r="O1096" i="1"/>
  <c r="N1096" i="1" s="1"/>
  <c r="O1095" i="1"/>
  <c r="N1095" i="1"/>
  <c r="O1094" i="1"/>
  <c r="N1094" i="1"/>
  <c r="O1093" i="1"/>
  <c r="N1093" i="1"/>
  <c r="O1092" i="1"/>
  <c r="N1092" i="1"/>
  <c r="O1091" i="1"/>
  <c r="N1091" i="1"/>
  <c r="O1090" i="1"/>
  <c r="N1090" i="1"/>
  <c r="O1089" i="1"/>
  <c r="N1089" i="1"/>
  <c r="O1088" i="1"/>
  <c r="N1088" i="1"/>
  <c r="O1087" i="1"/>
  <c r="N1087" i="1"/>
  <c r="O1086" i="1"/>
  <c r="N1086" i="1"/>
  <c r="O1085" i="1"/>
  <c r="N1085" i="1"/>
  <c r="O1084" i="1"/>
  <c r="N1084" i="1"/>
  <c r="O1083" i="1"/>
  <c r="N1083" i="1"/>
  <c r="O1082" i="1"/>
  <c r="N1082" i="1"/>
  <c r="O1081" i="1"/>
  <c r="N1081" i="1"/>
  <c r="O1080" i="1"/>
  <c r="N1080" i="1"/>
  <c r="O1079" i="1"/>
  <c r="N1079" i="1"/>
  <c r="O1078" i="1"/>
  <c r="N1078" i="1"/>
  <c r="O1077" i="1"/>
  <c r="N1077" i="1"/>
  <c r="O1076" i="1"/>
  <c r="N1076" i="1"/>
  <c r="O1075" i="1"/>
  <c r="N1075" i="1"/>
  <c r="O1074" i="1"/>
  <c r="N1074" i="1"/>
  <c r="O1073" i="1"/>
  <c r="N1073" i="1"/>
  <c r="O1072" i="1"/>
  <c r="N1072" i="1" s="1"/>
  <c r="O1071" i="1"/>
  <c r="N1071" i="1"/>
  <c r="O1070" i="1"/>
  <c r="N1070" i="1"/>
  <c r="O1069" i="1"/>
  <c r="N1069" i="1"/>
  <c r="O1068" i="1"/>
  <c r="N1068" i="1"/>
  <c r="O1067" i="1"/>
  <c r="N1067" i="1"/>
  <c r="O1066" i="1"/>
  <c r="N1066" i="1"/>
  <c r="O1065" i="1"/>
  <c r="N1065" i="1"/>
  <c r="O1064" i="1"/>
  <c r="N1064" i="1"/>
  <c r="O1063" i="1"/>
  <c r="N1063" i="1"/>
  <c r="O1062" i="1"/>
  <c r="N1062" i="1" s="1"/>
  <c r="O1061" i="1"/>
  <c r="N1061" i="1"/>
  <c r="O1060" i="1"/>
  <c r="N1060" i="1"/>
  <c r="O1059" i="1"/>
  <c r="N1059" i="1"/>
  <c r="O1058" i="1"/>
  <c r="N1058" i="1"/>
  <c r="O1057" i="1"/>
  <c r="N1057" i="1"/>
  <c r="O1056" i="1"/>
  <c r="N1056" i="1"/>
  <c r="O1055" i="1"/>
  <c r="N1055" i="1"/>
  <c r="O1054" i="1"/>
  <c r="N1054" i="1"/>
  <c r="O1053" i="1"/>
  <c r="N1053" i="1"/>
  <c r="O1052" i="1"/>
  <c r="N1052" i="1"/>
  <c r="O1051" i="1"/>
  <c r="N1051" i="1"/>
  <c r="O1050" i="1"/>
  <c r="N1050" i="1"/>
  <c r="O1049" i="1"/>
  <c r="N1049" i="1" s="1"/>
  <c r="O1048" i="1"/>
  <c r="N1048" i="1"/>
  <c r="O1047" i="1"/>
  <c r="N1047" i="1" s="1"/>
  <c r="O1046" i="1"/>
  <c r="N1046" i="1"/>
  <c r="O1045" i="1"/>
  <c r="N1045" i="1"/>
  <c r="O1044" i="1"/>
  <c r="N1044" i="1" s="1"/>
  <c r="O1043" i="1"/>
  <c r="N1043" i="1"/>
  <c r="O1042" i="1"/>
  <c r="N1042" i="1" s="1"/>
  <c r="O1041" i="1"/>
  <c r="N1041" i="1" s="1"/>
  <c r="O1040" i="1"/>
  <c r="N1040" i="1" s="1"/>
  <c r="O1039" i="1"/>
  <c r="N1039" i="1" s="1"/>
  <c r="O1038" i="1"/>
  <c r="N1038" i="1"/>
  <c r="O1037" i="1"/>
  <c r="N1037" i="1"/>
  <c r="O1036" i="1"/>
  <c r="N1036" i="1"/>
  <c r="O1035" i="1"/>
  <c r="N1035" i="1" s="1"/>
  <c r="O1034" i="1"/>
  <c r="N1034" i="1" s="1"/>
  <c r="O1033" i="1"/>
  <c r="N1033" i="1" s="1"/>
  <c r="O1032" i="1"/>
  <c r="N1032" i="1"/>
  <c r="O1031" i="1"/>
  <c r="N1031" i="1"/>
  <c r="O1030" i="1"/>
  <c r="N1030" i="1"/>
  <c r="O1029" i="1"/>
  <c r="N1029" i="1"/>
  <c r="O1028" i="1"/>
  <c r="N1028" i="1"/>
  <c r="O1027" i="1"/>
  <c r="N1027" i="1"/>
  <c r="O1026" i="1"/>
  <c r="N1026" i="1" s="1"/>
  <c r="O1025" i="1"/>
  <c r="N1025" i="1" s="1"/>
  <c r="O1024" i="1"/>
  <c r="N1024" i="1" s="1"/>
  <c r="O1023" i="1"/>
  <c r="N1023" i="1" s="1"/>
  <c r="O1022" i="1"/>
  <c r="N1022" i="1"/>
  <c r="O1021" i="1"/>
  <c r="N1021" i="1"/>
  <c r="O1020" i="1"/>
  <c r="N1020" i="1" s="1"/>
  <c r="O1019" i="1"/>
  <c r="N1019" i="1" s="1"/>
  <c r="O1018" i="1"/>
  <c r="N1018" i="1"/>
  <c r="O1017" i="1"/>
  <c r="N1017" i="1"/>
  <c r="O1016" i="1"/>
  <c r="N1016" i="1" s="1"/>
  <c r="O1015" i="1"/>
  <c r="N1015" i="1" s="1"/>
  <c r="O1014" i="1"/>
  <c r="N1014" i="1" s="1"/>
  <c r="O1013" i="1"/>
  <c r="N1013" i="1"/>
  <c r="O1012" i="1"/>
  <c r="N1012" i="1"/>
  <c r="O1011" i="1"/>
  <c r="N1011" i="1"/>
  <c r="O1010" i="1"/>
  <c r="N1010" i="1" s="1"/>
  <c r="O1009" i="1"/>
  <c r="N1009" i="1" s="1"/>
  <c r="O1008" i="1"/>
  <c r="N1008" i="1" s="1"/>
  <c r="O1007" i="1"/>
  <c r="N1007" i="1" s="1"/>
  <c r="O1006" i="1"/>
  <c r="N1006" i="1" s="1"/>
  <c r="O1005" i="1"/>
  <c r="N1005" i="1" s="1"/>
  <c r="O1004" i="1"/>
  <c r="N1004" i="1" s="1"/>
  <c r="O1003" i="1"/>
  <c r="N1003" i="1" s="1"/>
  <c r="O1002" i="1"/>
  <c r="N1002" i="1"/>
  <c r="O1001" i="1"/>
  <c r="N1001" i="1" s="1"/>
  <c r="O1000" i="1"/>
  <c r="N1000" i="1" s="1"/>
  <c r="O999" i="1"/>
  <c r="N999" i="1" s="1"/>
  <c r="O998" i="1"/>
  <c r="N998" i="1" s="1"/>
  <c r="O997" i="1"/>
  <c r="N997" i="1" s="1"/>
  <c r="O996" i="1"/>
  <c r="N996" i="1" s="1"/>
  <c r="O995" i="1"/>
  <c r="N995" i="1" s="1"/>
  <c r="O994" i="1"/>
  <c r="N994" i="1"/>
  <c r="O993" i="1"/>
  <c r="N993" i="1"/>
  <c r="O992" i="1"/>
  <c r="N992" i="1" s="1"/>
  <c r="O991" i="1"/>
  <c r="N991" i="1" s="1"/>
  <c r="O990" i="1"/>
  <c r="N990" i="1" s="1"/>
  <c r="O989" i="1"/>
  <c r="N989" i="1" s="1"/>
  <c r="O988" i="1"/>
  <c r="N988" i="1"/>
  <c r="O987" i="1"/>
  <c r="N987" i="1" s="1"/>
  <c r="O986" i="1"/>
  <c r="N986" i="1" s="1"/>
  <c r="O985" i="1"/>
  <c r="N985" i="1" s="1"/>
  <c r="O984" i="1"/>
  <c r="N984" i="1" s="1"/>
  <c r="O983" i="1"/>
  <c r="N983" i="1" s="1"/>
  <c r="O982" i="1"/>
  <c r="N982" i="1" s="1"/>
  <c r="O981" i="1"/>
  <c r="N981" i="1" s="1"/>
  <c r="O980" i="1"/>
  <c r="N980" i="1" s="1"/>
  <c r="O979" i="1"/>
  <c r="N979" i="1" s="1"/>
  <c r="O978" i="1"/>
  <c r="N978" i="1"/>
  <c r="O977" i="1"/>
  <c r="N977" i="1" s="1"/>
  <c r="O976" i="1"/>
  <c r="N976" i="1" s="1"/>
  <c r="O975" i="1"/>
  <c r="N975" i="1" s="1"/>
  <c r="O974" i="1"/>
  <c r="N974" i="1" s="1"/>
  <c r="O973" i="1"/>
  <c r="N973" i="1" s="1"/>
  <c r="O972" i="1"/>
  <c r="N972" i="1" s="1"/>
  <c r="O971" i="1"/>
  <c r="N971" i="1" s="1"/>
  <c r="O970" i="1"/>
  <c r="N970" i="1" s="1"/>
  <c r="O969" i="1"/>
  <c r="N969" i="1"/>
  <c r="O968" i="1"/>
  <c r="N968" i="1" s="1"/>
  <c r="O967" i="1"/>
  <c r="N967" i="1"/>
  <c r="O966" i="1"/>
  <c r="N966" i="1"/>
  <c r="O965" i="1"/>
  <c r="N965" i="1"/>
  <c r="O964" i="1"/>
  <c r="N964" i="1" s="1"/>
  <c r="O963" i="1"/>
  <c r="N963" i="1"/>
  <c r="O962" i="1"/>
  <c r="N962" i="1"/>
  <c r="O961" i="1"/>
  <c r="N961" i="1" s="1"/>
  <c r="O960" i="1"/>
  <c r="N960" i="1" s="1"/>
  <c r="O959" i="1"/>
  <c r="N959" i="1" s="1"/>
  <c r="O958" i="1"/>
  <c r="N958" i="1"/>
  <c r="O957" i="1"/>
  <c r="N957" i="1" s="1"/>
  <c r="O956" i="1"/>
  <c r="N956" i="1"/>
  <c r="O955" i="1"/>
  <c r="N955" i="1" s="1"/>
  <c r="O954" i="1"/>
  <c r="N954" i="1"/>
  <c r="O953" i="1"/>
  <c r="N953" i="1"/>
  <c r="O952" i="1"/>
  <c r="N952" i="1"/>
  <c r="O951" i="1"/>
  <c r="N951" i="1"/>
  <c r="O950" i="1"/>
  <c r="N950" i="1" s="1"/>
  <c r="O949" i="1"/>
  <c r="N949" i="1"/>
  <c r="O948" i="1"/>
  <c r="N948" i="1"/>
  <c r="O947" i="1"/>
  <c r="N947" i="1"/>
  <c r="O946" i="1"/>
  <c r="N946" i="1"/>
  <c r="O945" i="1"/>
  <c r="N945" i="1" s="1"/>
  <c r="O944" i="1"/>
  <c r="N944" i="1"/>
  <c r="O943" i="1"/>
  <c r="N943" i="1"/>
  <c r="O942" i="1"/>
  <c r="N942" i="1"/>
  <c r="O941" i="1"/>
  <c r="N941" i="1"/>
  <c r="O940" i="1"/>
  <c r="N940" i="1"/>
  <c r="O939" i="1"/>
  <c r="N939" i="1" s="1"/>
  <c r="O938" i="1"/>
  <c r="N938" i="1"/>
  <c r="O937" i="1"/>
  <c r="N937" i="1"/>
  <c r="O936" i="1"/>
  <c r="N936" i="1"/>
  <c r="O935" i="1"/>
  <c r="N935" i="1"/>
  <c r="O934" i="1"/>
  <c r="N934" i="1"/>
  <c r="O933" i="1"/>
  <c r="N933" i="1"/>
  <c r="O932" i="1"/>
  <c r="N932" i="1"/>
  <c r="O931" i="1"/>
  <c r="N931" i="1"/>
  <c r="O930" i="1"/>
  <c r="N930" i="1"/>
  <c r="O929" i="1"/>
  <c r="N929" i="1"/>
  <c r="O928" i="1"/>
  <c r="N928" i="1" s="1"/>
  <c r="O927" i="1"/>
  <c r="N927" i="1"/>
  <c r="O926" i="1"/>
  <c r="N926" i="1"/>
  <c r="O925" i="1"/>
  <c r="N925" i="1"/>
  <c r="O924" i="1"/>
  <c r="N924" i="1" s="1"/>
  <c r="O923" i="1"/>
  <c r="N923" i="1" s="1"/>
  <c r="O922" i="1"/>
  <c r="N922" i="1"/>
  <c r="O921" i="1"/>
  <c r="N921" i="1"/>
  <c r="O920" i="1"/>
  <c r="N920" i="1"/>
  <c r="O919" i="1"/>
  <c r="N919" i="1"/>
  <c r="O918" i="1"/>
  <c r="N918" i="1"/>
  <c r="O917" i="1"/>
  <c r="N917" i="1" s="1"/>
  <c r="O916" i="1"/>
  <c r="N916" i="1" s="1"/>
  <c r="O915" i="1"/>
  <c r="N915" i="1"/>
  <c r="O914" i="1"/>
  <c r="N914" i="1"/>
  <c r="O913" i="1"/>
  <c r="N913" i="1"/>
  <c r="O912" i="1"/>
  <c r="N912" i="1"/>
  <c r="O911" i="1"/>
  <c r="N911" i="1"/>
  <c r="O910" i="1"/>
  <c r="N910" i="1"/>
  <c r="O909" i="1"/>
  <c r="N909" i="1"/>
  <c r="O908" i="1"/>
  <c r="N908" i="1"/>
  <c r="O907" i="1"/>
  <c r="N907" i="1"/>
  <c r="O906" i="1"/>
  <c r="N906" i="1" s="1"/>
  <c r="O905" i="1"/>
  <c r="N905" i="1"/>
  <c r="O904" i="1"/>
  <c r="N904" i="1"/>
  <c r="O903" i="1"/>
  <c r="N903" i="1"/>
  <c r="O902" i="1"/>
  <c r="N902" i="1"/>
  <c r="O901" i="1"/>
  <c r="N901" i="1"/>
  <c r="O900" i="1"/>
  <c r="N900" i="1"/>
  <c r="O899" i="1"/>
  <c r="N899" i="1"/>
  <c r="O898" i="1"/>
  <c r="N898" i="1"/>
  <c r="O897" i="1"/>
  <c r="N897" i="1"/>
  <c r="O896" i="1"/>
  <c r="N896" i="1"/>
  <c r="O895" i="1"/>
  <c r="N895" i="1"/>
  <c r="O894" i="1"/>
  <c r="N894" i="1"/>
  <c r="O893" i="1"/>
  <c r="N893" i="1"/>
  <c r="O892" i="1"/>
  <c r="N892" i="1"/>
  <c r="O891" i="1"/>
  <c r="N891" i="1"/>
  <c r="O890" i="1"/>
  <c r="N890" i="1"/>
  <c r="O889" i="1"/>
  <c r="N889" i="1"/>
  <c r="O888" i="1"/>
  <c r="N888" i="1"/>
  <c r="O887" i="1"/>
  <c r="N887" i="1"/>
  <c r="O886" i="1"/>
  <c r="N886" i="1"/>
  <c r="O885" i="1"/>
  <c r="N885" i="1"/>
  <c r="O884" i="1"/>
  <c r="N884" i="1"/>
  <c r="O883" i="1"/>
  <c r="N883" i="1"/>
  <c r="O882" i="1"/>
  <c r="N882" i="1"/>
  <c r="O881" i="1"/>
  <c r="N881" i="1"/>
  <c r="O880" i="1"/>
  <c r="N880" i="1"/>
  <c r="O879" i="1"/>
  <c r="N879" i="1"/>
  <c r="O878" i="1"/>
  <c r="N878" i="1"/>
  <c r="O877" i="1"/>
  <c r="N877" i="1"/>
  <c r="O876" i="1"/>
  <c r="N876" i="1"/>
  <c r="O875" i="1"/>
  <c r="N875" i="1"/>
  <c r="O874" i="1"/>
  <c r="N874" i="1"/>
  <c r="O873" i="1"/>
  <c r="N873" i="1"/>
  <c r="O872" i="1"/>
  <c r="N872" i="1"/>
  <c r="O871" i="1"/>
  <c r="N871" i="1"/>
  <c r="O870" i="1"/>
  <c r="N870" i="1"/>
  <c r="O869" i="1"/>
  <c r="N869" i="1"/>
  <c r="O868" i="1"/>
  <c r="N868" i="1" s="1"/>
  <c r="O867" i="1"/>
  <c r="N867" i="1"/>
  <c r="O866" i="1"/>
  <c r="N866" i="1"/>
  <c r="O865" i="1"/>
  <c r="N865" i="1"/>
  <c r="O864" i="1"/>
  <c r="N864" i="1"/>
  <c r="O863" i="1"/>
  <c r="N863" i="1"/>
  <c r="O862" i="1"/>
  <c r="N862" i="1"/>
  <c r="O861" i="1"/>
  <c r="N861" i="1" s="1"/>
  <c r="O860" i="1"/>
  <c r="N860" i="1"/>
  <c r="O859" i="1"/>
  <c r="N859" i="1"/>
  <c r="O858" i="1"/>
  <c r="N858" i="1" s="1"/>
  <c r="O857" i="1"/>
  <c r="N857" i="1"/>
  <c r="O856" i="1"/>
  <c r="N856" i="1"/>
  <c r="O855" i="1"/>
  <c r="N855" i="1" s="1"/>
  <c r="O854" i="1"/>
  <c r="N854" i="1"/>
  <c r="O853" i="1"/>
  <c r="N853" i="1"/>
  <c r="O852" i="1"/>
  <c r="N852" i="1"/>
  <c r="O851" i="1"/>
  <c r="N851" i="1"/>
  <c r="O850" i="1"/>
  <c r="N850" i="1"/>
  <c r="O849" i="1"/>
  <c r="N849" i="1" s="1"/>
  <c r="O848" i="1"/>
  <c r="N848" i="1"/>
  <c r="O847" i="1"/>
  <c r="N847" i="1" s="1"/>
  <c r="O846" i="1"/>
  <c r="N846" i="1"/>
  <c r="O845" i="1"/>
  <c r="N845" i="1"/>
  <c r="O844" i="1"/>
  <c r="N844" i="1" s="1"/>
  <c r="O843" i="1"/>
  <c r="N843" i="1" s="1"/>
  <c r="O842" i="1"/>
  <c r="N842" i="1"/>
  <c r="O841" i="1"/>
  <c r="N841" i="1" s="1"/>
  <c r="O840" i="1"/>
  <c r="N840" i="1" s="1"/>
  <c r="O839" i="1"/>
  <c r="N839" i="1"/>
  <c r="O838" i="1"/>
  <c r="N838" i="1"/>
  <c r="O837" i="1"/>
  <c r="N837" i="1" s="1"/>
  <c r="O836" i="1"/>
  <c r="N836" i="1"/>
  <c r="O835" i="1"/>
  <c r="N835" i="1" s="1"/>
  <c r="O834" i="1"/>
  <c r="N834" i="1"/>
  <c r="O833" i="1"/>
  <c r="N833" i="1" s="1"/>
  <c r="O832" i="1"/>
  <c r="N832" i="1" s="1"/>
  <c r="O831" i="1"/>
  <c r="N831" i="1" s="1"/>
  <c r="O830" i="1"/>
  <c r="N830" i="1" s="1"/>
  <c r="O829" i="1"/>
  <c r="N829" i="1" s="1"/>
  <c r="O828" i="1"/>
  <c r="N828" i="1"/>
  <c r="O827" i="1"/>
  <c r="N827" i="1" s="1"/>
  <c r="O826" i="1"/>
  <c r="N826" i="1" s="1"/>
  <c r="O825" i="1"/>
  <c r="N825" i="1" s="1"/>
  <c r="O824" i="1"/>
  <c r="N824" i="1" s="1"/>
  <c r="O823" i="1"/>
  <c r="N823" i="1" s="1"/>
  <c r="O822" i="1"/>
  <c r="N822" i="1"/>
  <c r="O821" i="1"/>
  <c r="N821" i="1" s="1"/>
  <c r="O820" i="1"/>
  <c r="N820" i="1"/>
  <c r="O819" i="1"/>
  <c r="N819" i="1"/>
  <c r="O818" i="1"/>
  <c r="N818" i="1"/>
  <c r="O817" i="1"/>
  <c r="N817" i="1" s="1"/>
  <c r="O816" i="1"/>
  <c r="N816" i="1" s="1"/>
  <c r="O815" i="1"/>
  <c r="N815" i="1"/>
  <c r="O814" i="1"/>
  <c r="N814" i="1" s="1"/>
  <c r="O813" i="1"/>
  <c r="N813" i="1" s="1"/>
  <c r="O812" i="1"/>
  <c r="N812" i="1" s="1"/>
  <c r="O811" i="1"/>
  <c r="N811" i="1" s="1"/>
  <c r="O810" i="1"/>
  <c r="N810" i="1"/>
  <c r="O809" i="1"/>
  <c r="N809" i="1"/>
  <c r="O808" i="1"/>
  <c r="N808" i="1"/>
  <c r="O807" i="1"/>
  <c r="N807" i="1"/>
  <c r="O806" i="1"/>
  <c r="N806" i="1"/>
  <c r="O805" i="1"/>
  <c r="N805" i="1"/>
  <c r="O804" i="1"/>
  <c r="N804" i="1"/>
  <c r="O803" i="1"/>
  <c r="N803" i="1"/>
  <c r="O802" i="1"/>
  <c r="N802" i="1"/>
  <c r="O801" i="1"/>
  <c r="N801" i="1"/>
  <c r="O800" i="1"/>
  <c r="N800" i="1"/>
  <c r="O799" i="1"/>
  <c r="N799" i="1"/>
  <c r="O798" i="1"/>
  <c r="N798" i="1"/>
  <c r="O797" i="1"/>
  <c r="N797" i="1"/>
  <c r="O796" i="1"/>
  <c r="N796" i="1"/>
  <c r="O795" i="1"/>
  <c r="N795" i="1"/>
  <c r="O794" i="1"/>
  <c r="N794" i="1"/>
  <c r="O793" i="1"/>
  <c r="N793" i="1"/>
  <c r="O792" i="1"/>
  <c r="N792" i="1" s="1"/>
  <c r="O791" i="1"/>
  <c r="N791" i="1"/>
  <c r="O790" i="1"/>
  <c r="N790" i="1"/>
  <c r="O789" i="1"/>
  <c r="N789" i="1"/>
  <c r="O788" i="1"/>
  <c r="N788" i="1"/>
  <c r="O787" i="1"/>
  <c r="N787" i="1"/>
  <c r="O786" i="1"/>
  <c r="N786" i="1" s="1"/>
  <c r="O785" i="1"/>
  <c r="N785" i="1" s="1"/>
  <c r="O784" i="1"/>
  <c r="N784" i="1" s="1"/>
  <c r="O783" i="1"/>
  <c r="N783" i="1" s="1"/>
  <c r="O782" i="1"/>
  <c r="N782" i="1"/>
  <c r="O781" i="1"/>
  <c r="N781" i="1"/>
  <c r="O780" i="1"/>
  <c r="N780" i="1"/>
  <c r="O779" i="1"/>
  <c r="N779" i="1" s="1"/>
  <c r="O778" i="1"/>
  <c r="N778" i="1"/>
  <c r="O777" i="1"/>
  <c r="N777" i="1"/>
  <c r="O776" i="1"/>
  <c r="N776" i="1" s="1"/>
  <c r="O775" i="1"/>
  <c r="N775" i="1"/>
  <c r="O774" i="1"/>
  <c r="N774" i="1" s="1"/>
  <c r="O773" i="1"/>
  <c r="N773" i="1"/>
  <c r="O772" i="1"/>
  <c r="N772" i="1"/>
  <c r="O771" i="1"/>
  <c r="N771" i="1"/>
  <c r="O770" i="1"/>
  <c r="N770" i="1"/>
  <c r="O769" i="1"/>
  <c r="N769" i="1"/>
  <c r="O768" i="1"/>
  <c r="N768" i="1" s="1"/>
  <c r="O767" i="1"/>
  <c r="N767" i="1"/>
  <c r="O766" i="1"/>
  <c r="N766" i="1"/>
  <c r="O765" i="1"/>
  <c r="N765" i="1"/>
  <c r="O764" i="1"/>
  <c r="N764" i="1"/>
  <c r="O763" i="1"/>
  <c r="N763" i="1" s="1"/>
  <c r="O762" i="1"/>
  <c r="N762" i="1"/>
  <c r="O761" i="1"/>
  <c r="N761" i="1"/>
  <c r="O760" i="1"/>
  <c r="N760" i="1"/>
  <c r="O759" i="1"/>
  <c r="N759" i="1"/>
  <c r="O758" i="1"/>
  <c r="N758" i="1"/>
  <c r="O757" i="1"/>
  <c r="N757" i="1"/>
  <c r="O756" i="1"/>
  <c r="N756" i="1"/>
  <c r="O755" i="1"/>
  <c r="N755" i="1"/>
  <c r="O754" i="1"/>
  <c r="N754" i="1"/>
  <c r="O753" i="1"/>
  <c r="N753" i="1"/>
  <c r="O752" i="1"/>
  <c r="N752" i="1"/>
  <c r="O751" i="1"/>
  <c r="N751" i="1"/>
  <c r="O750" i="1"/>
  <c r="N750" i="1"/>
  <c r="O749" i="1"/>
  <c r="N749" i="1"/>
  <c r="O748" i="1"/>
  <c r="N748" i="1"/>
  <c r="O747" i="1"/>
  <c r="N747" i="1"/>
  <c r="O746" i="1"/>
  <c r="N746" i="1"/>
  <c r="O745" i="1"/>
  <c r="N745" i="1"/>
  <c r="O744" i="1"/>
  <c r="N744" i="1"/>
  <c r="O743" i="1"/>
  <c r="N743" i="1" s="1"/>
  <c r="O742" i="1"/>
  <c r="N742" i="1"/>
  <c r="O741" i="1"/>
  <c r="N741" i="1"/>
  <c r="O740" i="1"/>
  <c r="N740" i="1"/>
  <c r="O739" i="1"/>
  <c r="N739" i="1" s="1"/>
  <c r="O738" i="1"/>
  <c r="N738" i="1"/>
  <c r="O737" i="1"/>
  <c r="N737" i="1"/>
  <c r="O736" i="1"/>
  <c r="N736" i="1" s="1"/>
  <c r="O735" i="1"/>
  <c r="N735" i="1" s="1"/>
  <c r="O734" i="1"/>
  <c r="N734" i="1"/>
  <c r="O733" i="1"/>
  <c r="N733" i="1" s="1"/>
  <c r="O732" i="1"/>
  <c r="N732" i="1" s="1"/>
  <c r="O731" i="1"/>
  <c r="N731" i="1"/>
  <c r="O730" i="1"/>
  <c r="N730" i="1"/>
  <c r="O729" i="1"/>
  <c r="N729" i="1"/>
  <c r="O728" i="1"/>
  <c r="N728" i="1"/>
  <c r="O727" i="1"/>
  <c r="N727" i="1" s="1"/>
  <c r="O726" i="1"/>
  <c r="N726" i="1" s="1"/>
  <c r="O725" i="1"/>
  <c r="N725" i="1"/>
  <c r="O724" i="1"/>
  <c r="N724" i="1" s="1"/>
  <c r="O723" i="1"/>
  <c r="N723" i="1"/>
  <c r="O722" i="1"/>
  <c r="N722" i="1"/>
  <c r="O721" i="1"/>
  <c r="N721" i="1" s="1"/>
  <c r="O720" i="1"/>
  <c r="N720" i="1" s="1"/>
  <c r="O719" i="1"/>
  <c r="N719" i="1"/>
  <c r="O718" i="1"/>
  <c r="N718" i="1" s="1"/>
  <c r="O717" i="1"/>
  <c r="N717" i="1" s="1"/>
  <c r="O716" i="1"/>
  <c r="N716" i="1"/>
  <c r="O715" i="1"/>
  <c r="N715" i="1"/>
  <c r="O714" i="1"/>
  <c r="N714" i="1"/>
  <c r="O713" i="1"/>
  <c r="N713" i="1"/>
  <c r="O712" i="1"/>
  <c r="N712" i="1" s="1"/>
  <c r="O711" i="1"/>
  <c r="N711" i="1"/>
  <c r="O710" i="1"/>
  <c r="N710" i="1"/>
  <c r="O709" i="1"/>
  <c r="N709" i="1"/>
  <c r="O708" i="1"/>
  <c r="N708" i="1"/>
  <c r="O707" i="1"/>
  <c r="N707" i="1"/>
  <c r="O706" i="1"/>
  <c r="N706" i="1"/>
  <c r="O705" i="1"/>
  <c r="N705" i="1"/>
  <c r="O704" i="1"/>
  <c r="N704" i="1"/>
  <c r="O703" i="1"/>
  <c r="N703" i="1" s="1"/>
  <c r="O702" i="1"/>
  <c r="N702" i="1" s="1"/>
  <c r="O701" i="1"/>
  <c r="N701" i="1" s="1"/>
  <c r="O700" i="1"/>
  <c r="N700" i="1"/>
  <c r="O699" i="1"/>
  <c r="N699" i="1" s="1"/>
  <c r="O698" i="1"/>
  <c r="N698" i="1" s="1"/>
  <c r="O697" i="1"/>
  <c r="N697" i="1" s="1"/>
  <c r="O696" i="1"/>
  <c r="N696" i="1" s="1"/>
  <c r="O695" i="1"/>
  <c r="N695" i="1" s="1"/>
  <c r="O694" i="1"/>
  <c r="N694" i="1" s="1"/>
  <c r="O693" i="1"/>
  <c r="N693" i="1" s="1"/>
  <c r="O692" i="1"/>
  <c r="N692" i="1" s="1"/>
  <c r="O691" i="1"/>
  <c r="N691" i="1" s="1"/>
  <c r="O690" i="1"/>
  <c r="N690" i="1"/>
  <c r="O689" i="1"/>
  <c r="N689" i="1" s="1"/>
  <c r="O688" i="1"/>
  <c r="N688" i="1" s="1"/>
  <c r="O687" i="1"/>
  <c r="N687" i="1" s="1"/>
  <c r="O686" i="1"/>
  <c r="N686" i="1" s="1"/>
  <c r="O685" i="1"/>
  <c r="N685" i="1"/>
  <c r="O684" i="1"/>
  <c r="N684" i="1" s="1"/>
  <c r="O683" i="1"/>
  <c r="N683" i="1" s="1"/>
  <c r="O682" i="1"/>
  <c r="N682" i="1"/>
  <c r="O681" i="1"/>
  <c r="N681" i="1" s="1"/>
  <c r="O680" i="1"/>
  <c r="N680" i="1" s="1"/>
  <c r="O679" i="1"/>
  <c r="N679" i="1" s="1"/>
  <c r="O678" i="1"/>
  <c r="N678" i="1" s="1"/>
  <c r="O677" i="1"/>
  <c r="N677" i="1" s="1"/>
  <c r="O676" i="1"/>
  <c r="N676" i="1"/>
  <c r="O675" i="1"/>
  <c r="N675" i="1" s="1"/>
  <c r="O674" i="1"/>
  <c r="N674" i="1" s="1"/>
  <c r="O673" i="1"/>
  <c r="N673" i="1" s="1"/>
  <c r="O672" i="1"/>
  <c r="N672" i="1" s="1"/>
  <c r="O671" i="1"/>
  <c r="N671" i="1" s="1"/>
  <c r="O670" i="1"/>
  <c r="N670" i="1" s="1"/>
  <c r="O669" i="1"/>
  <c r="N669" i="1" s="1"/>
  <c r="O668" i="1"/>
  <c r="N668" i="1" s="1"/>
  <c r="O667" i="1"/>
  <c r="N667" i="1" s="1"/>
  <c r="O666" i="1"/>
  <c r="N666" i="1" s="1"/>
  <c r="O665" i="1"/>
  <c r="N665" i="1" s="1"/>
  <c r="O664" i="1"/>
  <c r="N664" i="1" s="1"/>
  <c r="O663" i="1"/>
  <c r="N663" i="1" s="1"/>
  <c r="O662" i="1"/>
  <c r="N662" i="1"/>
  <c r="O661" i="1"/>
  <c r="N661" i="1"/>
  <c r="O660" i="1"/>
  <c r="N660" i="1" s="1"/>
  <c r="O659" i="1"/>
  <c r="N659" i="1" s="1"/>
  <c r="O658" i="1"/>
  <c r="N658" i="1" s="1"/>
  <c r="O657" i="1"/>
  <c r="N657" i="1" s="1"/>
  <c r="O656" i="1"/>
  <c r="N656" i="1"/>
  <c r="O655" i="1"/>
  <c r="N655" i="1" s="1"/>
  <c r="O654" i="1"/>
  <c r="N654" i="1"/>
  <c r="O653" i="1"/>
  <c r="N653" i="1" s="1"/>
  <c r="O652" i="1"/>
  <c r="N652" i="1" s="1"/>
  <c r="O651" i="1"/>
  <c r="N651" i="1" s="1"/>
  <c r="O650" i="1"/>
  <c r="N650" i="1" s="1"/>
  <c r="O649" i="1"/>
  <c r="N649" i="1"/>
  <c r="O648" i="1"/>
  <c r="N648" i="1"/>
  <c r="O647" i="1"/>
  <c r="N647" i="1" s="1"/>
  <c r="O646" i="1"/>
  <c r="N646" i="1" s="1"/>
  <c r="O645" i="1"/>
  <c r="N645" i="1" s="1"/>
  <c r="O644" i="1"/>
  <c r="N644" i="1" s="1"/>
  <c r="O643" i="1"/>
  <c r="N643" i="1" s="1"/>
  <c r="O642" i="1"/>
  <c r="N642" i="1"/>
  <c r="O641" i="1"/>
  <c r="N641" i="1" s="1"/>
  <c r="O640" i="1"/>
  <c r="N640" i="1" s="1"/>
  <c r="O639" i="1"/>
  <c r="N639" i="1" s="1"/>
  <c r="O638" i="1"/>
  <c r="N638" i="1" s="1"/>
  <c r="O637" i="1"/>
  <c r="N637" i="1" s="1"/>
  <c r="O636" i="1"/>
  <c r="N636" i="1" s="1"/>
  <c r="O635" i="1"/>
  <c r="N635" i="1"/>
  <c r="O634" i="1"/>
  <c r="N634" i="1" s="1"/>
  <c r="O633" i="1"/>
  <c r="N633" i="1"/>
  <c r="O632" i="1"/>
  <c r="N632" i="1" s="1"/>
  <c r="O631" i="1"/>
  <c r="N631" i="1" s="1"/>
  <c r="O630" i="1"/>
  <c r="N630" i="1" s="1"/>
  <c r="O629" i="1"/>
  <c r="N629" i="1" s="1"/>
  <c r="O628" i="1"/>
  <c r="N628" i="1" s="1"/>
  <c r="O627" i="1"/>
  <c r="N627" i="1" s="1"/>
  <c r="O626" i="1"/>
  <c r="N626" i="1" s="1"/>
  <c r="O625" i="1"/>
  <c r="N625" i="1" s="1"/>
  <c r="O624" i="1"/>
  <c r="N624" i="1" s="1"/>
  <c r="O623" i="1"/>
  <c r="N623" i="1"/>
  <c r="O622" i="1"/>
  <c r="N622" i="1" s="1"/>
  <c r="O621" i="1"/>
  <c r="N621" i="1" s="1"/>
  <c r="O620" i="1"/>
  <c r="N620" i="1" s="1"/>
  <c r="O619" i="1"/>
  <c r="N619" i="1" s="1"/>
  <c r="O618" i="1"/>
  <c r="N618" i="1"/>
  <c r="O617" i="1"/>
  <c r="N617" i="1"/>
  <c r="O616" i="1"/>
  <c r="N616" i="1"/>
  <c r="O615" i="1"/>
  <c r="N615" i="1" s="1"/>
  <c r="O614" i="1"/>
  <c r="N614" i="1" s="1"/>
  <c r="O613" i="1"/>
  <c r="N613" i="1" s="1"/>
  <c r="O612" i="1"/>
  <c r="N612" i="1" s="1"/>
  <c r="O611" i="1"/>
  <c r="N611" i="1"/>
  <c r="O610" i="1"/>
  <c r="N610" i="1" s="1"/>
  <c r="O609" i="1"/>
  <c r="N609" i="1" s="1"/>
  <c r="O608" i="1"/>
  <c r="N608" i="1" s="1"/>
  <c r="O607" i="1"/>
  <c r="N607" i="1" s="1"/>
  <c r="O606" i="1"/>
  <c r="N606" i="1" s="1"/>
  <c r="O605" i="1"/>
  <c r="N605" i="1" s="1"/>
  <c r="O604" i="1"/>
  <c r="N604" i="1" s="1"/>
  <c r="O603" i="1"/>
  <c r="N603" i="1" s="1"/>
  <c r="O602" i="1"/>
  <c r="N602" i="1" s="1"/>
  <c r="O601" i="1"/>
  <c r="N601" i="1" s="1"/>
  <c r="O600" i="1"/>
  <c r="N600" i="1" s="1"/>
  <c r="O599" i="1"/>
  <c r="N599" i="1" s="1"/>
  <c r="O598" i="1"/>
  <c r="N598" i="1" s="1"/>
  <c r="O597" i="1"/>
  <c r="N597" i="1" s="1"/>
  <c r="O596" i="1"/>
  <c r="N596" i="1" s="1"/>
  <c r="O595" i="1"/>
  <c r="N595" i="1" s="1"/>
  <c r="O594" i="1"/>
  <c r="N594" i="1" s="1"/>
  <c r="O593" i="1"/>
  <c r="N593" i="1" s="1"/>
  <c r="O592" i="1"/>
  <c r="N592" i="1" s="1"/>
  <c r="O591" i="1"/>
  <c r="N591" i="1" s="1"/>
  <c r="O590" i="1"/>
  <c r="N590" i="1" s="1"/>
  <c r="O589" i="1"/>
  <c r="N589" i="1" s="1"/>
  <c r="O588" i="1"/>
  <c r="N588" i="1"/>
  <c r="O587" i="1"/>
  <c r="N587" i="1" s="1"/>
  <c r="O586" i="1"/>
  <c r="N586" i="1" s="1"/>
  <c r="O585" i="1"/>
  <c r="N585" i="1" s="1"/>
  <c r="O584" i="1"/>
  <c r="N584" i="1" s="1"/>
  <c r="O583" i="1"/>
  <c r="N583" i="1"/>
  <c r="O582" i="1"/>
  <c r="N582" i="1" s="1"/>
  <c r="O581" i="1"/>
  <c r="N581" i="1" s="1"/>
  <c r="O580" i="1"/>
  <c r="N580" i="1" s="1"/>
  <c r="O579" i="1"/>
  <c r="N579" i="1" s="1"/>
  <c r="O578" i="1"/>
  <c r="N578" i="1" s="1"/>
  <c r="O577" i="1"/>
  <c r="N577" i="1" s="1"/>
  <c r="O576" i="1"/>
  <c r="N576" i="1" s="1"/>
  <c r="O575" i="1"/>
  <c r="N575" i="1" s="1"/>
  <c r="O574" i="1"/>
  <c r="N574" i="1" s="1"/>
  <c r="O573" i="1"/>
  <c r="N573" i="1" s="1"/>
  <c r="O572" i="1"/>
  <c r="N572" i="1" s="1"/>
  <c r="O571" i="1"/>
  <c r="N571" i="1" s="1"/>
  <c r="O570" i="1"/>
  <c r="N570" i="1"/>
  <c r="O569" i="1"/>
  <c r="N569" i="1" s="1"/>
  <c r="O568" i="1"/>
  <c r="N568" i="1"/>
  <c r="O567" i="1"/>
  <c r="N567" i="1"/>
  <c r="O566" i="1"/>
  <c r="N566" i="1"/>
  <c r="O565" i="1"/>
  <c r="N565" i="1" s="1"/>
  <c r="O564" i="1"/>
  <c r="N564" i="1" s="1"/>
  <c r="O563" i="1"/>
  <c r="N563" i="1"/>
  <c r="O562" i="1"/>
  <c r="N562" i="1"/>
  <c r="O561" i="1"/>
  <c r="N561" i="1"/>
  <c r="O560" i="1"/>
  <c r="N560" i="1" s="1"/>
  <c r="O559" i="1"/>
  <c r="N559" i="1" s="1"/>
  <c r="O558" i="1"/>
  <c r="N558" i="1" s="1"/>
  <c r="O557" i="1"/>
  <c r="N557" i="1" s="1"/>
  <c r="O556" i="1"/>
  <c r="N556" i="1"/>
  <c r="O555" i="1"/>
  <c r="N555" i="1" s="1"/>
  <c r="O554" i="1"/>
  <c r="N554" i="1" s="1"/>
  <c r="O553" i="1"/>
  <c r="N553" i="1"/>
  <c r="O552" i="1"/>
  <c r="N552" i="1" s="1"/>
  <c r="O551" i="1"/>
  <c r="N551" i="1" s="1"/>
  <c r="O550" i="1"/>
  <c r="N550" i="1" s="1"/>
  <c r="O549" i="1"/>
  <c r="N549" i="1" s="1"/>
  <c r="O548" i="1"/>
  <c r="N548" i="1" s="1"/>
  <c r="O547" i="1"/>
  <c r="N547" i="1"/>
  <c r="O546" i="1"/>
  <c r="N546" i="1" s="1"/>
  <c r="O545" i="1"/>
  <c r="N545" i="1" s="1"/>
  <c r="O544" i="1"/>
  <c r="N544" i="1" s="1"/>
  <c r="O543" i="1"/>
  <c r="N543" i="1"/>
  <c r="O542" i="1"/>
  <c r="N542" i="1" s="1"/>
  <c r="O541" i="1"/>
  <c r="N541" i="1" s="1"/>
  <c r="O540" i="1"/>
  <c r="N540" i="1" s="1"/>
  <c r="O539" i="1"/>
  <c r="N539" i="1"/>
  <c r="O538" i="1"/>
  <c r="N538" i="1" s="1"/>
  <c r="O537" i="1"/>
  <c r="N537" i="1" s="1"/>
  <c r="O536" i="1"/>
  <c r="N536" i="1" s="1"/>
  <c r="O535" i="1"/>
  <c r="N535" i="1"/>
  <c r="O534" i="1"/>
  <c r="N534" i="1" s="1"/>
  <c r="O533" i="1"/>
  <c r="N533" i="1" s="1"/>
  <c r="O532" i="1"/>
  <c r="N532" i="1"/>
  <c r="O531" i="1"/>
  <c r="N531" i="1" s="1"/>
  <c r="O530" i="1"/>
  <c r="N530" i="1" s="1"/>
  <c r="O529" i="1"/>
  <c r="N529" i="1"/>
  <c r="O528" i="1"/>
  <c r="N528" i="1" s="1"/>
  <c r="O527" i="1"/>
  <c r="N527" i="1" s="1"/>
  <c r="O526" i="1"/>
  <c r="N526" i="1" s="1"/>
  <c r="O525" i="1"/>
  <c r="N525" i="1" s="1"/>
  <c r="O524" i="1"/>
  <c r="N524" i="1" s="1"/>
  <c r="O523" i="1"/>
  <c r="N523" i="1" s="1"/>
  <c r="O522" i="1"/>
  <c r="N522" i="1" s="1"/>
  <c r="O521" i="1"/>
  <c r="N521" i="1"/>
  <c r="O520" i="1"/>
  <c r="N520" i="1" s="1"/>
  <c r="O519" i="1"/>
  <c r="N519" i="1" s="1"/>
  <c r="O518" i="1"/>
  <c r="N518" i="1"/>
  <c r="O517" i="1"/>
  <c r="N517" i="1" s="1"/>
  <c r="O516" i="1"/>
  <c r="N516" i="1" s="1"/>
  <c r="O515" i="1"/>
  <c r="N515" i="1"/>
  <c r="O514" i="1"/>
  <c r="N514" i="1" s="1"/>
  <c r="O513" i="1"/>
  <c r="N513" i="1"/>
  <c r="O512" i="1"/>
  <c r="N512" i="1" s="1"/>
  <c r="O511" i="1"/>
  <c r="N511" i="1" s="1"/>
  <c r="O510" i="1"/>
  <c r="N510" i="1" s="1"/>
  <c r="O509" i="1"/>
  <c r="N509" i="1" s="1"/>
  <c r="O508" i="1"/>
  <c r="N508" i="1" s="1"/>
  <c r="O507" i="1"/>
  <c r="N507" i="1" s="1"/>
  <c r="O506" i="1"/>
  <c r="N506" i="1" s="1"/>
  <c r="O505" i="1"/>
  <c r="N505" i="1"/>
  <c r="O504" i="1"/>
  <c r="N504" i="1" s="1"/>
  <c r="O503" i="1"/>
  <c r="N503" i="1" s="1"/>
  <c r="O502" i="1"/>
  <c r="N502" i="1"/>
  <c r="O501" i="1"/>
  <c r="N501" i="1" s="1"/>
  <c r="O500" i="1"/>
  <c r="N500" i="1" s="1"/>
  <c r="O499" i="1"/>
  <c r="N499" i="1" s="1"/>
  <c r="O498" i="1"/>
  <c r="N498" i="1" s="1"/>
  <c r="O497" i="1"/>
  <c r="N497" i="1" s="1"/>
  <c r="O496" i="1"/>
  <c r="N496" i="1" s="1"/>
  <c r="O495" i="1"/>
  <c r="N495" i="1" s="1"/>
  <c r="O494" i="1"/>
  <c r="N494" i="1"/>
  <c r="O493" i="1"/>
  <c r="N493" i="1" s="1"/>
  <c r="O492" i="1"/>
  <c r="N492" i="1" s="1"/>
  <c r="O491" i="1"/>
  <c r="N491" i="1"/>
  <c r="O490" i="1"/>
  <c r="N490" i="1" s="1"/>
  <c r="O489" i="1"/>
  <c r="N489" i="1" s="1"/>
  <c r="O488" i="1"/>
  <c r="N488" i="1" s="1"/>
  <c r="O487" i="1"/>
  <c r="N487" i="1" s="1"/>
  <c r="O486" i="1"/>
  <c r="N486" i="1" s="1"/>
  <c r="O485" i="1"/>
  <c r="N485" i="1" s="1"/>
  <c r="O484" i="1"/>
  <c r="N484" i="1" s="1"/>
  <c r="O483" i="1"/>
  <c r="N483" i="1" s="1"/>
  <c r="O482" i="1"/>
  <c r="N482" i="1"/>
  <c r="O481" i="1"/>
  <c r="N481" i="1"/>
  <c r="O480" i="1"/>
  <c r="N480" i="1" s="1"/>
  <c r="O479" i="1"/>
  <c r="N479" i="1"/>
  <c r="O478" i="1"/>
  <c r="N478" i="1" s="1"/>
  <c r="O477" i="1"/>
  <c r="N477" i="1"/>
  <c r="O476" i="1"/>
  <c r="N476" i="1" s="1"/>
  <c r="O475" i="1"/>
  <c r="N475" i="1" s="1"/>
  <c r="O474" i="1"/>
  <c r="N474" i="1" s="1"/>
  <c r="O473" i="1"/>
  <c r="N473" i="1" s="1"/>
  <c r="O472" i="1"/>
  <c r="N472" i="1"/>
  <c r="O471" i="1"/>
  <c r="N471" i="1"/>
  <c r="O470" i="1"/>
  <c r="N470" i="1" s="1"/>
  <c r="O469" i="1"/>
  <c r="N469" i="1" s="1"/>
  <c r="O468" i="1"/>
  <c r="N468" i="1"/>
  <c r="O467" i="1"/>
  <c r="N467" i="1" s="1"/>
  <c r="O466" i="1"/>
  <c r="N466" i="1" s="1"/>
  <c r="O465" i="1"/>
  <c r="N465" i="1"/>
  <c r="O464" i="1"/>
  <c r="N464" i="1" s="1"/>
  <c r="O463" i="1"/>
  <c r="N463" i="1" s="1"/>
  <c r="O462" i="1"/>
  <c r="N462" i="1"/>
  <c r="O461" i="1"/>
  <c r="N461" i="1"/>
  <c r="O460" i="1"/>
  <c r="N460" i="1"/>
  <c r="O459" i="1"/>
  <c r="N459" i="1"/>
  <c r="O458" i="1"/>
  <c r="N458" i="1" s="1"/>
  <c r="O457" i="1"/>
  <c r="N457" i="1"/>
  <c r="O456" i="1"/>
  <c r="N456" i="1" s="1"/>
  <c r="O455" i="1"/>
  <c r="N455" i="1" s="1"/>
  <c r="O454" i="1"/>
  <c r="N454" i="1" s="1"/>
  <c r="O453" i="1"/>
  <c r="N453" i="1" s="1"/>
  <c r="O452" i="1"/>
  <c r="N452" i="1" s="1"/>
  <c r="O451" i="1"/>
  <c r="N451" i="1" s="1"/>
  <c r="O450" i="1"/>
  <c r="N450" i="1" s="1"/>
  <c r="O449" i="1"/>
  <c r="N449" i="1"/>
  <c r="O448" i="1"/>
  <c r="N448" i="1" s="1"/>
  <c r="O447" i="1"/>
  <c r="N447" i="1" s="1"/>
  <c r="O446" i="1"/>
  <c r="N446" i="1" s="1"/>
  <c r="O445" i="1"/>
  <c r="N445" i="1" s="1"/>
  <c r="O444" i="1"/>
  <c r="N444" i="1" s="1"/>
  <c r="O443" i="1"/>
  <c r="N443" i="1" s="1"/>
  <c r="O442" i="1"/>
  <c r="N442" i="1"/>
  <c r="O441" i="1"/>
  <c r="N441" i="1" s="1"/>
  <c r="O440" i="1"/>
  <c r="N440" i="1" s="1"/>
  <c r="O439" i="1"/>
  <c r="N439" i="1" s="1"/>
  <c r="O438" i="1"/>
  <c r="N438" i="1" s="1"/>
  <c r="O437" i="1"/>
  <c r="N437" i="1" s="1"/>
  <c r="O436" i="1"/>
  <c r="N436" i="1" s="1"/>
  <c r="O435" i="1"/>
  <c r="N435" i="1" s="1"/>
  <c r="O434" i="1"/>
  <c r="N434" i="1" s="1"/>
  <c r="O433" i="1"/>
  <c r="N433" i="1"/>
  <c r="O432" i="1"/>
  <c r="N432" i="1" s="1"/>
  <c r="O431" i="1"/>
  <c r="N431" i="1" s="1"/>
  <c r="O430" i="1"/>
  <c r="N430" i="1" s="1"/>
  <c r="O429" i="1"/>
  <c r="N429" i="1"/>
  <c r="O428" i="1"/>
  <c r="N428" i="1"/>
  <c r="O427" i="1"/>
  <c r="N427" i="1" s="1"/>
  <c r="O426" i="1"/>
  <c r="N426" i="1"/>
  <c r="O425" i="1"/>
  <c r="N425" i="1" s="1"/>
  <c r="O424" i="1"/>
  <c r="N424" i="1" s="1"/>
  <c r="O423" i="1"/>
  <c r="N423" i="1" s="1"/>
  <c r="O422" i="1"/>
  <c r="N422" i="1" s="1"/>
  <c r="O421" i="1"/>
  <c r="N421" i="1" s="1"/>
  <c r="O420" i="1"/>
  <c r="N420" i="1" s="1"/>
  <c r="O419" i="1"/>
  <c r="N419" i="1" s="1"/>
  <c r="O418" i="1"/>
  <c r="N418" i="1" s="1"/>
  <c r="O417" i="1"/>
  <c r="N417" i="1" s="1"/>
  <c r="O416" i="1"/>
  <c r="N416" i="1"/>
  <c r="O415" i="1"/>
  <c r="N415" i="1" s="1"/>
  <c r="O414" i="1"/>
  <c r="N414" i="1" s="1"/>
  <c r="O413" i="1"/>
  <c r="N413" i="1" s="1"/>
  <c r="O412" i="1"/>
  <c r="N412" i="1" s="1"/>
  <c r="O411" i="1"/>
  <c r="N411" i="1" s="1"/>
  <c r="O410" i="1"/>
  <c r="N410" i="1" s="1"/>
  <c r="O409" i="1"/>
  <c r="N409" i="1" s="1"/>
  <c r="O408" i="1"/>
  <c r="N408" i="1" s="1"/>
  <c r="O407" i="1"/>
  <c r="N407" i="1"/>
  <c r="O406" i="1"/>
  <c r="N406" i="1" s="1"/>
  <c r="O405" i="1"/>
  <c r="N405" i="1" s="1"/>
  <c r="O404" i="1"/>
  <c r="N404" i="1" s="1"/>
  <c r="O403" i="1"/>
  <c r="N403" i="1" s="1"/>
  <c r="O402" i="1"/>
  <c r="N402" i="1" s="1"/>
  <c r="O401" i="1"/>
  <c r="N401" i="1"/>
  <c r="O400" i="1"/>
  <c r="N400" i="1" s="1"/>
  <c r="O399" i="1"/>
  <c r="N399" i="1" s="1"/>
  <c r="O398" i="1"/>
  <c r="N398" i="1" s="1"/>
  <c r="O397" i="1"/>
  <c r="N397" i="1" s="1"/>
  <c r="O396" i="1"/>
  <c r="N396" i="1"/>
  <c r="O395" i="1"/>
  <c r="N395" i="1"/>
  <c r="O394" i="1"/>
  <c r="N394" i="1" s="1"/>
  <c r="O393" i="1"/>
  <c r="N393" i="1" s="1"/>
  <c r="O392" i="1"/>
  <c r="N392" i="1" s="1"/>
  <c r="O391" i="1"/>
  <c r="N391" i="1" s="1"/>
  <c r="O390" i="1"/>
  <c r="N390" i="1" s="1"/>
  <c r="O389" i="1"/>
  <c r="N389" i="1" s="1"/>
  <c r="O388" i="1"/>
  <c r="N388" i="1" s="1"/>
  <c r="O387" i="1"/>
  <c r="N387" i="1"/>
  <c r="O386" i="1"/>
  <c r="N386" i="1" s="1"/>
  <c r="O385" i="1"/>
  <c r="N385" i="1" s="1"/>
  <c r="O384" i="1"/>
  <c r="N384" i="1" s="1"/>
  <c r="O383" i="1"/>
  <c r="N383" i="1" s="1"/>
  <c r="O382" i="1"/>
  <c r="N382" i="1" s="1"/>
  <c r="O381" i="1"/>
  <c r="N381" i="1" s="1"/>
  <c r="O380" i="1"/>
  <c r="N380" i="1" s="1"/>
  <c r="O379" i="1"/>
  <c r="N379" i="1" s="1"/>
  <c r="O378" i="1"/>
  <c r="N378" i="1"/>
  <c r="O377" i="1"/>
  <c r="N377" i="1" s="1"/>
  <c r="O376" i="1"/>
  <c r="N376" i="1"/>
  <c r="O375" i="1"/>
  <c r="N375" i="1" s="1"/>
  <c r="O374" i="1"/>
  <c r="N374" i="1"/>
  <c r="O373" i="1"/>
  <c r="N373" i="1" s="1"/>
  <c r="O372" i="1"/>
  <c r="N372" i="1"/>
  <c r="O371" i="1"/>
  <c r="N371" i="1" s="1"/>
  <c r="O370" i="1"/>
  <c r="N370" i="1"/>
  <c r="O369" i="1"/>
  <c r="N369" i="1" s="1"/>
  <c r="O368" i="1"/>
  <c r="N368" i="1" s="1"/>
  <c r="O367" i="1"/>
  <c r="N367" i="1"/>
  <c r="O366" i="1"/>
  <c r="N366" i="1" s="1"/>
  <c r="O365" i="1"/>
  <c r="N365" i="1" s="1"/>
  <c r="O364" i="1"/>
  <c r="N364" i="1" s="1"/>
  <c r="O363" i="1"/>
  <c r="N363" i="1" s="1"/>
  <c r="O362" i="1"/>
  <c r="N362" i="1" s="1"/>
  <c r="O361" i="1"/>
  <c r="N361" i="1" s="1"/>
  <c r="O360" i="1"/>
  <c r="N360" i="1"/>
  <c r="O359" i="1"/>
  <c r="N359" i="1" s="1"/>
  <c r="O358" i="1"/>
  <c r="N358" i="1" s="1"/>
  <c r="O357" i="1"/>
  <c r="N357" i="1" s="1"/>
  <c r="O356" i="1"/>
  <c r="N356" i="1" s="1"/>
  <c r="O355" i="1"/>
  <c r="N355" i="1" s="1"/>
  <c r="O354" i="1"/>
  <c r="N354" i="1" s="1"/>
  <c r="O353" i="1"/>
  <c r="N353" i="1" s="1"/>
  <c r="O352" i="1"/>
  <c r="N352" i="1" s="1"/>
  <c r="O351" i="1"/>
  <c r="N351" i="1" s="1"/>
  <c r="O350" i="1"/>
  <c r="N350" i="1"/>
  <c r="O349" i="1"/>
  <c r="N349" i="1" s="1"/>
  <c r="O348" i="1"/>
  <c r="N348" i="1"/>
  <c r="O347" i="1"/>
  <c r="N347" i="1" s="1"/>
  <c r="O346" i="1"/>
  <c r="N346" i="1" s="1"/>
  <c r="O345" i="1"/>
  <c r="N345" i="1" s="1"/>
  <c r="O344" i="1"/>
  <c r="N344" i="1" s="1"/>
  <c r="O343" i="1"/>
  <c r="N343" i="1" s="1"/>
  <c r="O342" i="1"/>
  <c r="N342" i="1" s="1"/>
  <c r="O341" i="1"/>
  <c r="N341" i="1" s="1"/>
  <c r="O340" i="1"/>
  <c r="N340" i="1" s="1"/>
  <c r="O339" i="1"/>
  <c r="N339" i="1" s="1"/>
  <c r="O338" i="1"/>
  <c r="N338" i="1" s="1"/>
  <c r="O337" i="1"/>
  <c r="N337" i="1"/>
  <c r="O336" i="1"/>
  <c r="N336" i="1" s="1"/>
  <c r="O335" i="1"/>
  <c r="N335" i="1" s="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s="1"/>
  <c r="O319" i="1"/>
  <c r="N319" i="1"/>
  <c r="O318" i="1"/>
  <c r="N318" i="1" s="1"/>
  <c r="O317" i="1"/>
  <c r="N317" i="1" s="1"/>
  <c r="O316" i="1"/>
  <c r="N316" i="1" s="1"/>
  <c r="O315" i="1"/>
  <c r="N315" i="1" s="1"/>
  <c r="O314" i="1"/>
  <c r="N314" i="1" s="1"/>
  <c r="O313" i="1"/>
  <c r="N313" i="1" s="1"/>
  <c r="O312" i="1"/>
  <c r="N312" i="1" s="1"/>
  <c r="O311" i="1"/>
  <c r="N311" i="1" s="1"/>
  <c r="O310" i="1"/>
  <c r="N310" i="1"/>
  <c r="O309" i="1"/>
  <c r="N309" i="1" s="1"/>
  <c r="O308" i="1"/>
  <c r="N308" i="1" s="1"/>
  <c r="O307" i="1"/>
  <c r="N307" i="1"/>
  <c r="O306" i="1"/>
  <c r="N306" i="1" s="1"/>
  <c r="O305" i="1"/>
  <c r="N305" i="1" s="1"/>
  <c r="O304" i="1"/>
  <c r="N304" i="1"/>
  <c r="O303" i="1"/>
  <c r="N303" i="1" s="1"/>
  <c r="O302" i="1"/>
  <c r="N302" i="1"/>
  <c r="O301" i="1"/>
  <c r="N301" i="1" s="1"/>
  <c r="O300" i="1"/>
  <c r="N300" i="1" s="1"/>
  <c r="O299" i="1"/>
  <c r="N299" i="1" s="1"/>
  <c r="O298" i="1"/>
  <c r="N298" i="1"/>
  <c r="O297" i="1"/>
  <c r="N297" i="1" s="1"/>
  <c r="O296" i="1"/>
  <c r="N296" i="1" s="1"/>
  <c r="O295" i="1"/>
  <c r="N295" i="1"/>
  <c r="O294" i="1"/>
  <c r="N294" i="1" s="1"/>
  <c r="O293" i="1"/>
  <c r="N293" i="1" s="1"/>
  <c r="O292" i="1"/>
  <c r="N292" i="1"/>
  <c r="O291" i="1"/>
  <c r="N291" i="1" s="1"/>
  <c r="O290" i="1"/>
  <c r="N290" i="1" s="1"/>
  <c r="O289" i="1"/>
  <c r="N289" i="1" s="1"/>
  <c r="O288" i="1"/>
  <c r="N288" i="1" s="1"/>
  <c r="O287" i="1"/>
  <c r="N287" i="1" s="1"/>
  <c r="O286" i="1"/>
  <c r="N286" i="1" s="1"/>
  <c r="O285" i="1"/>
  <c r="N285" i="1"/>
  <c r="O284" i="1"/>
  <c r="N284" i="1" s="1"/>
  <c r="O283" i="1"/>
  <c r="N283" i="1" s="1"/>
  <c r="O282" i="1"/>
  <c r="N282" i="1" s="1"/>
  <c r="O281" i="1"/>
  <c r="N281" i="1" s="1"/>
  <c r="O280" i="1"/>
  <c r="N280" i="1"/>
  <c r="O279" i="1"/>
  <c r="N279" i="1" s="1"/>
  <c r="O278" i="1"/>
  <c r="N278" i="1"/>
  <c r="O277" i="1"/>
  <c r="N277" i="1"/>
  <c r="O276" i="1"/>
  <c r="N276" i="1" s="1"/>
  <c r="O275" i="1"/>
  <c r="N275" i="1" s="1"/>
  <c r="O274" i="1"/>
  <c r="N274" i="1" s="1"/>
  <c r="O273" i="1"/>
  <c r="N273" i="1"/>
  <c r="O272" i="1"/>
  <c r="N272" i="1" s="1"/>
  <c r="O271" i="1"/>
  <c r="N271" i="1" s="1"/>
  <c r="O270" i="1"/>
  <c r="N270" i="1" s="1"/>
  <c r="O269" i="1"/>
  <c r="N269" i="1" s="1"/>
  <c r="O268" i="1"/>
  <c r="N268" i="1" s="1"/>
  <c r="O267" i="1"/>
  <c r="N267" i="1" s="1"/>
  <c r="O266" i="1"/>
  <c r="N266" i="1" s="1"/>
  <c r="O265" i="1"/>
  <c r="N265" i="1" s="1"/>
  <c r="O264" i="1"/>
  <c r="N264" i="1" s="1"/>
  <c r="O263" i="1"/>
  <c r="N263" i="1" s="1"/>
  <c r="O262" i="1"/>
  <c r="N262" i="1" s="1"/>
  <c r="O261" i="1"/>
  <c r="N261" i="1" s="1"/>
  <c r="O260" i="1"/>
  <c r="N260" i="1" s="1"/>
  <c r="O259" i="1"/>
  <c r="N259" i="1" s="1"/>
  <c r="O258" i="1"/>
  <c r="N258" i="1"/>
  <c r="O257" i="1"/>
  <c r="N257" i="1" s="1"/>
  <c r="O256" i="1"/>
  <c r="N256" i="1"/>
  <c r="O255" i="1"/>
  <c r="N255" i="1" s="1"/>
  <c r="O254" i="1"/>
  <c r="N254" i="1"/>
  <c r="O253" i="1"/>
  <c r="N253" i="1" s="1"/>
  <c r="O252" i="1"/>
  <c r="N252" i="1"/>
  <c r="O251" i="1"/>
  <c r="N251" i="1" s="1"/>
  <c r="O250" i="1"/>
  <c r="N250" i="1"/>
  <c r="O249" i="1"/>
  <c r="N249" i="1" s="1"/>
  <c r="O248" i="1"/>
  <c r="N248" i="1" s="1"/>
  <c r="O247" i="1"/>
  <c r="N247" i="1" s="1"/>
  <c r="O246" i="1"/>
  <c r="N246" i="1" s="1"/>
  <c r="O245" i="1"/>
  <c r="N245" i="1" s="1"/>
  <c r="O244" i="1"/>
  <c r="N244" i="1" s="1"/>
  <c r="O243" i="1"/>
  <c r="N243" i="1" s="1"/>
  <c r="O242" i="1"/>
  <c r="N242" i="1" s="1"/>
  <c r="O241" i="1"/>
  <c r="N241" i="1"/>
  <c r="O240" i="1"/>
  <c r="N240" i="1"/>
  <c r="O239" i="1"/>
  <c r="N239" i="1" s="1"/>
  <c r="O238" i="1"/>
  <c r="N238" i="1" s="1"/>
  <c r="O237" i="1"/>
  <c r="N237" i="1" s="1"/>
  <c r="O236" i="1"/>
  <c r="N236" i="1"/>
  <c r="O235" i="1"/>
  <c r="N235" i="1"/>
  <c r="O234" i="1"/>
  <c r="N234" i="1"/>
  <c r="O233" i="1"/>
  <c r="N233" i="1" s="1"/>
  <c r="O232" i="1"/>
  <c r="N232" i="1"/>
  <c r="O231" i="1"/>
  <c r="N231" i="1" s="1"/>
  <c r="O230" i="1"/>
  <c r="N230" i="1" s="1"/>
  <c r="O229" i="1"/>
  <c r="N229" i="1" s="1"/>
  <c r="O228" i="1"/>
  <c r="N228" i="1"/>
  <c r="O227" i="1"/>
  <c r="N227" i="1" s="1"/>
  <c r="O226" i="1"/>
  <c r="N226" i="1" s="1"/>
  <c r="O225" i="1"/>
  <c r="N225" i="1" s="1"/>
  <c r="O224" i="1"/>
  <c r="N224" i="1" s="1"/>
  <c r="O223" i="1"/>
  <c r="N223" i="1"/>
  <c r="O222" i="1"/>
  <c r="N222" i="1"/>
  <c r="O221" i="1"/>
  <c r="N221" i="1"/>
  <c r="O220" i="1"/>
  <c r="N220" i="1"/>
  <c r="O219" i="1"/>
  <c r="N219" i="1" s="1"/>
  <c r="O218" i="1"/>
  <c r="N218" i="1" s="1"/>
  <c r="O217" i="1"/>
  <c r="N217" i="1" s="1"/>
  <c r="O216" i="1"/>
  <c r="N216" i="1" s="1"/>
  <c r="O215" i="1"/>
  <c r="N215" i="1" s="1"/>
  <c r="O214" i="1"/>
  <c r="N214" i="1" s="1"/>
  <c r="O213" i="1"/>
  <c r="N213" i="1" s="1"/>
  <c r="O212" i="1"/>
  <c r="N212" i="1"/>
  <c r="O211" i="1"/>
  <c r="N211" i="1"/>
  <c r="O210" i="1"/>
  <c r="N210" i="1" s="1"/>
  <c r="O209" i="1"/>
  <c r="N209" i="1" s="1"/>
  <c r="O208" i="1"/>
  <c r="N208" i="1" s="1"/>
  <c r="O207" i="1"/>
  <c r="N207" i="1" s="1"/>
  <c r="O206" i="1"/>
  <c r="N206" i="1" s="1"/>
  <c r="O205" i="1"/>
  <c r="N205" i="1" s="1"/>
  <c r="O204" i="1"/>
  <c r="N204" i="1"/>
  <c r="O203" i="1"/>
  <c r="N203" i="1" s="1"/>
  <c r="O202" i="1"/>
  <c r="N202" i="1"/>
  <c r="O201" i="1"/>
  <c r="N201" i="1" s="1"/>
  <c r="O200" i="1"/>
  <c r="N200" i="1" s="1"/>
  <c r="O199" i="1"/>
  <c r="N199" i="1" s="1"/>
  <c r="O198" i="1"/>
  <c r="N198" i="1" s="1"/>
  <c r="O197" i="1"/>
  <c r="N197" i="1" s="1"/>
  <c r="O196" i="1"/>
  <c r="N196" i="1" s="1"/>
  <c r="O195" i="1"/>
  <c r="N195" i="1" s="1"/>
  <c r="O194" i="1"/>
  <c r="N194" i="1" s="1"/>
  <c r="O193" i="1"/>
  <c r="N193" i="1" s="1"/>
  <c r="O192" i="1"/>
  <c r="N192" i="1" s="1"/>
  <c r="O191" i="1"/>
  <c r="N191" i="1" s="1"/>
  <c r="O190" i="1"/>
  <c r="N190" i="1"/>
  <c r="O189" i="1"/>
  <c r="N189" i="1" s="1"/>
  <c r="O188" i="1"/>
  <c r="N188" i="1" s="1"/>
  <c r="O187" i="1"/>
  <c r="N187" i="1" s="1"/>
  <c r="O186" i="1"/>
  <c r="N186" i="1"/>
  <c r="O185" i="1"/>
  <c r="N185" i="1" s="1"/>
  <c r="O184" i="1"/>
  <c r="N184" i="1" s="1"/>
  <c r="O183" i="1"/>
  <c r="N183" i="1" s="1"/>
  <c r="O182" i="1"/>
  <c r="N182" i="1" s="1"/>
  <c r="O181" i="1"/>
  <c r="N181" i="1"/>
  <c r="O180" i="1"/>
  <c r="N180" i="1" s="1"/>
  <c r="O179" i="1"/>
  <c r="N179" i="1" s="1"/>
  <c r="O178" i="1"/>
  <c r="N178" i="1"/>
  <c r="O177" i="1"/>
  <c r="N177" i="1" s="1"/>
  <c r="O176" i="1"/>
  <c r="N176" i="1" s="1"/>
  <c r="O175" i="1"/>
  <c r="N175" i="1" s="1"/>
  <c r="O174" i="1"/>
  <c r="N174" i="1" s="1"/>
  <c r="O173" i="1"/>
  <c r="N173" i="1" s="1"/>
  <c r="O172" i="1"/>
  <c r="N172" i="1" s="1"/>
  <c r="O171" i="1"/>
  <c r="N171" i="1"/>
  <c r="O170" i="1"/>
  <c r="N170" i="1"/>
  <c r="O169" i="1"/>
  <c r="N169" i="1" s="1"/>
  <c r="O168" i="1"/>
  <c r="N168" i="1" s="1"/>
  <c r="O167" i="1"/>
  <c r="N167" i="1"/>
  <c r="O166" i="1"/>
  <c r="N166" i="1" s="1"/>
  <c r="O165" i="1"/>
  <c r="N165" i="1" s="1"/>
  <c r="O164" i="1"/>
  <c r="N164" i="1"/>
  <c r="O163" i="1"/>
  <c r="N163" i="1"/>
  <c r="O162" i="1"/>
  <c r="N162" i="1" s="1"/>
  <c r="O161" i="1"/>
  <c r="N161" i="1" s="1"/>
  <c r="O160" i="1"/>
  <c r="N160" i="1" s="1"/>
  <c r="O159" i="1"/>
  <c r="N159" i="1" s="1"/>
  <c r="O158" i="1"/>
  <c r="N158" i="1" s="1"/>
  <c r="O157" i="1"/>
  <c r="N157" i="1" s="1"/>
  <c r="O156" i="1"/>
  <c r="N156" i="1"/>
  <c r="O155" i="1"/>
  <c r="N155" i="1" s="1"/>
  <c r="O154" i="1"/>
  <c r="N154" i="1" s="1"/>
  <c r="O153" i="1"/>
  <c r="N153" i="1" s="1"/>
  <c r="O152" i="1"/>
  <c r="N152" i="1" s="1"/>
  <c r="O151" i="1"/>
  <c r="N151" i="1" s="1"/>
  <c r="O150" i="1"/>
  <c r="N150" i="1" s="1"/>
  <c r="O149" i="1"/>
  <c r="N149" i="1" s="1"/>
  <c r="O148" i="1"/>
  <c r="N148" i="1" s="1"/>
  <c r="O147" i="1"/>
  <c r="N147" i="1" s="1"/>
  <c r="O146" i="1"/>
  <c r="N146" i="1" s="1"/>
  <c r="O145" i="1"/>
  <c r="N145" i="1"/>
  <c r="O144" i="1"/>
  <c r="N144" i="1"/>
  <c r="O143" i="1"/>
  <c r="N143" i="1"/>
  <c r="O142" i="1"/>
  <c r="N142" i="1"/>
  <c r="O141" i="1"/>
  <c r="N141" i="1"/>
  <c r="O140" i="1"/>
  <c r="N140" i="1"/>
  <c r="O139" i="1"/>
  <c r="N139" i="1" s="1"/>
  <c r="O138" i="1"/>
  <c r="N138" i="1"/>
  <c r="O137" i="1"/>
  <c r="N137" i="1" s="1"/>
  <c r="O136" i="1"/>
  <c r="N136" i="1"/>
  <c r="O135" i="1"/>
  <c r="N135" i="1"/>
  <c r="O134" i="1"/>
  <c r="N134" i="1" s="1"/>
  <c r="O133" i="1"/>
  <c r="N133" i="1" s="1"/>
  <c r="O132" i="1"/>
  <c r="N132" i="1" s="1"/>
  <c r="O131" i="1"/>
  <c r="N131" i="1"/>
  <c r="O130" i="1"/>
  <c r="N130" i="1" s="1"/>
  <c r="O129" i="1"/>
  <c r="N129" i="1" s="1"/>
  <c r="O128" i="1"/>
  <c r="N128" i="1"/>
  <c r="O127" i="1"/>
  <c r="N127" i="1" s="1"/>
  <c r="O126" i="1"/>
  <c r="N126" i="1"/>
  <c r="O125" i="1"/>
  <c r="N125" i="1" s="1"/>
  <c r="O124" i="1"/>
  <c r="N124" i="1" s="1"/>
  <c r="O123" i="1"/>
  <c r="N123" i="1" s="1"/>
  <c r="O122" i="1"/>
  <c r="N122" i="1"/>
  <c r="O121" i="1"/>
  <c r="N121" i="1" s="1"/>
  <c r="O120" i="1"/>
  <c r="N120" i="1"/>
  <c r="O119" i="1"/>
  <c r="N119" i="1"/>
  <c r="O118" i="1"/>
  <c r="N118" i="1"/>
  <c r="O117" i="1"/>
  <c r="N117" i="1" s="1"/>
  <c r="O116" i="1"/>
  <c r="N116" i="1" s="1"/>
  <c r="O115" i="1"/>
  <c r="N115" i="1"/>
  <c r="O114" i="1"/>
  <c r="N114" i="1"/>
  <c r="O113" i="1"/>
  <c r="N113" i="1"/>
  <c r="O112" i="1"/>
  <c r="N112" i="1"/>
  <c r="O111" i="1"/>
  <c r="N111" i="1"/>
  <c r="O110" i="1"/>
  <c r="N110" i="1"/>
  <c r="O109" i="1"/>
  <c r="N109" i="1" s="1"/>
  <c r="O108" i="1"/>
  <c r="N108" i="1" s="1"/>
  <c r="O107" i="1"/>
  <c r="N107" i="1" s="1"/>
  <c r="O106" i="1"/>
  <c r="N106" i="1"/>
  <c r="O105" i="1"/>
  <c r="N105" i="1" s="1"/>
  <c r="O104" i="1"/>
  <c r="N104" i="1"/>
  <c r="O103" i="1"/>
  <c r="N103" i="1"/>
  <c r="O102" i="1"/>
  <c r="N102" i="1"/>
  <c r="O101" i="1"/>
  <c r="N101" i="1" s="1"/>
  <c r="O100" i="1"/>
  <c r="N100" i="1"/>
  <c r="O99" i="1"/>
  <c r="N99" i="1" s="1"/>
  <c r="O98" i="1"/>
  <c r="N98" i="1" s="1"/>
  <c r="O97" i="1"/>
  <c r="N97" i="1"/>
  <c r="O96" i="1"/>
  <c r="N96" i="1" s="1"/>
  <c r="O95" i="1"/>
  <c r="N95" i="1" s="1"/>
  <c r="O94" i="1"/>
  <c r="N94" i="1" s="1"/>
  <c r="O93" i="1"/>
  <c r="N93" i="1"/>
  <c r="O92" i="1"/>
  <c r="N92" i="1"/>
  <c r="O91" i="1"/>
  <c r="N91" i="1"/>
  <c r="O90" i="1"/>
  <c r="N90" i="1" s="1"/>
  <c r="O89" i="1"/>
  <c r="N89" i="1"/>
  <c r="O88" i="1"/>
  <c r="N88" i="1"/>
  <c r="O87" i="1"/>
  <c r="N87" i="1" s="1"/>
  <c r="O86" i="1"/>
  <c r="N86" i="1" s="1"/>
  <c r="O85" i="1"/>
  <c r="N85" i="1" s="1"/>
  <c r="O84" i="1"/>
  <c r="N84" i="1" s="1"/>
  <c r="O83" i="1"/>
  <c r="N83" i="1"/>
  <c r="O82" i="1"/>
  <c r="N82" i="1"/>
  <c r="O81" i="1"/>
  <c r="N81" i="1" s="1"/>
  <c r="O80" i="1"/>
  <c r="N80" i="1"/>
  <c r="O79" i="1"/>
  <c r="N79" i="1"/>
  <c r="O78" i="1"/>
  <c r="N78" i="1"/>
  <c r="O77" i="1"/>
  <c r="N77" i="1"/>
  <c r="O76" i="1"/>
  <c r="N76" i="1"/>
  <c r="O75" i="1"/>
  <c r="N75" i="1" s="1"/>
  <c r="O74" i="1"/>
  <c r="N74" i="1" s="1"/>
  <c r="O73" i="1"/>
  <c r="N73" i="1"/>
  <c r="O72" i="1"/>
  <c r="N72" i="1" s="1"/>
  <c r="O71" i="1"/>
  <c r="N71" i="1"/>
  <c r="O70" i="1"/>
  <c r="N70" i="1" s="1"/>
  <c r="O69" i="1"/>
  <c r="N69" i="1"/>
  <c r="O68" i="1"/>
  <c r="N68" i="1" s="1"/>
  <c r="O67" i="1"/>
  <c r="N67" i="1" s="1"/>
  <c r="O66" i="1"/>
  <c r="N66" i="1"/>
  <c r="O65" i="1"/>
  <c r="N65" i="1" s="1"/>
  <c r="O64" i="1"/>
  <c r="N64" i="1"/>
  <c r="O63" i="1"/>
  <c r="N63" i="1" s="1"/>
  <c r="O62" i="1"/>
  <c r="N62" i="1"/>
  <c r="O61" i="1"/>
  <c r="N61" i="1"/>
  <c r="O60" i="1"/>
  <c r="N60" i="1" s="1"/>
  <c r="O59" i="1"/>
  <c r="N59" i="1" s="1"/>
  <c r="O58" i="1"/>
  <c r="N58" i="1" s="1"/>
  <c r="O57" i="1"/>
  <c r="N57" i="1"/>
  <c r="O56" i="1"/>
  <c r="N56" i="1"/>
  <c r="O55" i="1"/>
  <c r="N55" i="1"/>
  <c r="O54" i="1"/>
  <c r="N54" i="1" s="1"/>
  <c r="O53" i="1"/>
  <c r="N53" i="1" s="1"/>
  <c r="O52" i="1"/>
  <c r="N52" i="1"/>
  <c r="O51" i="1"/>
  <c r="N51" i="1"/>
  <c r="O50" i="1"/>
  <c r="N50" i="1" s="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alcChain>
</file>

<file path=xl/sharedStrings.xml><?xml version="1.0" encoding="utf-8"?>
<sst xmlns="http://schemas.openxmlformats.org/spreadsheetml/2006/main" count="4541" uniqueCount="2895">
  <si>
    <t>代码</t>
  </si>
  <si>
    <t>策略名称</t>
  </si>
  <si>
    <t>策略基准</t>
  </si>
  <si>
    <t>累计收益(%)</t>
  </si>
  <si>
    <t>基准累计收益(%)</t>
  </si>
  <si>
    <t>年化收益(%)</t>
  </si>
  <si>
    <t>权益占比(%)</t>
  </si>
  <si>
    <t>固收占比(%)</t>
  </si>
  <si>
    <t>货币占比(%)</t>
  </si>
  <si>
    <t>另类占比(%)</t>
  </si>
  <si>
    <t>基金分类</t>
  </si>
  <si>
    <t>同类基金总数</t>
  </si>
  <si>
    <t>排名</t>
  </si>
  <si>
    <t>击败百分比</t>
  </si>
  <si>
    <t>排名位置百分位</t>
  </si>
  <si>
    <t>gffunds__GFJJ001081</t>
  </si>
  <si>
    <t>广发积极养老</t>
  </si>
  <si>
    <t>沪深 300 指数收益率*95%+中债综合全价（总值）指数收益率 *5%</t>
  </si>
  <si>
    <t>FOF-均衡型</t>
  </si>
  <si>
    <t>ttfund__PQNIJ0M</t>
  </si>
  <si>
    <t>农银智享进取</t>
  </si>
  <si>
    <t>沪深300指数*80%+中债综合全价（总值）指数*20%</t>
  </si>
  <si>
    <t>ttfund__E01AOGG</t>
  </si>
  <si>
    <t>嗨投小海飞跃号</t>
  </si>
  <si>
    <t>90%*中证800指数收益率+10%*货币基金指数收益率</t>
  </si>
  <si>
    <t>ttfund__DQVNAOK</t>
  </si>
  <si>
    <t>申度进取</t>
  </si>
  <si>
    <t>中证800*75%+上证国债*25%</t>
  </si>
  <si>
    <t>ttfund__EOB24TK</t>
  </si>
  <si>
    <t>东财睿智进取</t>
  </si>
  <si>
    <t>沪深300指数（000300）*60%  + 中债综合全价指数（CBA00203）*40%</t>
  </si>
  <si>
    <t>ttfund__LSOSLCM</t>
  </si>
  <si>
    <t>东财扬帆远航</t>
  </si>
  <si>
    <t>沪深300指数（000300）*80%  + 中债综合全价指数（CBA00203）*20%</t>
  </si>
  <si>
    <t>ttfund__GDNV7W7</t>
  </si>
  <si>
    <t>交银赢定投（直销）</t>
  </si>
  <si>
    <t>沪深300*60%+中债综合全价指数*40%</t>
  </si>
  <si>
    <t>ttfund__KOPAYYD</t>
  </si>
  <si>
    <t>中欧带你投国防军工</t>
  </si>
  <si>
    <t>中证军工指数×85%+中债综合全价指数×15%</t>
  </si>
  <si>
    <t>ttfund__RRE9VVG</t>
  </si>
  <si>
    <t>万家随心人生</t>
  </si>
  <si>
    <t>创业板指数*70%+中债综合全价(总值)指数*30%</t>
  </si>
  <si>
    <t>ttfund__SRW0GMX</t>
  </si>
  <si>
    <t>申度平衡</t>
  </si>
  <si>
    <t>中证800*50%+上证国债*50%</t>
  </si>
  <si>
    <t>ttfund__FM3RCOE</t>
  </si>
  <si>
    <t>景顺长城进取全明星</t>
  </si>
  <si>
    <t>沪深300指数收益率*70%+中证全债指数收益率*25%+中证货币基金指数收益率*5%</t>
  </si>
  <si>
    <t>ttfund__SF1017</t>
  </si>
  <si>
    <t>华夏国内培优教育金组合</t>
  </si>
  <si>
    <t>中证800×45%+中债综合财富指数×50%+中证货币基金指数×5%</t>
  </si>
  <si>
    <t>huaxia_tougu__SF1017</t>
  </si>
  <si>
    <t>国内培优教育金组合</t>
  </si>
  <si>
    <t>ttfund__YF6T0N1</t>
  </si>
  <si>
    <t>东财平衡省心</t>
  </si>
  <si>
    <t>沪深300指数（000300）*40%  + 中债综合全价指数（CBA00203）*60%</t>
  </si>
  <si>
    <t>ttfund__VORCBP0</t>
  </si>
  <si>
    <t>鹏华股债严选</t>
  </si>
  <si>
    <t>中证全债指数收益率*50%+沪深300指数指数收益率*50%</t>
  </si>
  <si>
    <t>ttfund__UL9DA75</t>
  </si>
  <si>
    <t>永盈洞见</t>
  </si>
  <si>
    <t>90%*中证800指数收益率+10%*中证全债指数收益率</t>
  </si>
  <si>
    <t>ttfund__TJOEVCC</t>
  </si>
  <si>
    <t>木兰进取</t>
  </si>
  <si>
    <t>85%*中证800指数收益率+15%*中证全债指数收益率</t>
  </si>
  <si>
    <t>ttfund__LK2O8TA</t>
  </si>
  <si>
    <t>博时乐意进取</t>
  </si>
  <si>
    <t>70%*偏股基金指数+30%*纯债债基指数</t>
  </si>
  <si>
    <t>ttfund__21PQCRZ</t>
  </si>
  <si>
    <t>梧桐权益明星组合</t>
  </si>
  <si>
    <t>沪深300指数*90%+上证国债指数*5%+货币基金指数*5%</t>
  </si>
  <si>
    <t>ttfund__1FGLC9L</t>
  </si>
  <si>
    <t>智航易投6号</t>
  </si>
  <si>
    <t>中证普通债券型基金指数*30%+中证偏股型基金指数*70%</t>
  </si>
  <si>
    <t>ttfund__FR87X7I</t>
  </si>
  <si>
    <t>国联平稳小目标03期</t>
  </si>
  <si>
    <t>ttfund__IPUBSGP</t>
  </si>
  <si>
    <t>国联平稳小目标02期</t>
  </si>
  <si>
    <t>ttfund__M8H8VUM</t>
  </si>
  <si>
    <t>国联平稳小目标01期</t>
  </si>
  <si>
    <t>ttfund__QKKRZNJ</t>
  </si>
  <si>
    <t>梧桐养老组合2045</t>
  </si>
  <si>
    <t>中证偏股型基金指数*60%+中证纯债债券型基金指数*35%+货币基金指数*5%</t>
  </si>
  <si>
    <t>ttfund__FFNEFQ1</t>
  </si>
  <si>
    <t>司南股债进取蓝筹组合</t>
  </si>
  <si>
    <t>沪深300指数×80%+上证国债指数×20%</t>
  </si>
  <si>
    <t>gffunds__GFJJ000767</t>
  </si>
  <si>
    <t>优选成长组合</t>
  </si>
  <si>
    <t>ttfund__AQX1X0N</t>
  </si>
  <si>
    <t>万家非凡小目标01期</t>
  </si>
  <si>
    <t>75%*中证800指数收益率+25%*中债综合全价(总值)指数收益率</t>
  </si>
  <si>
    <t>ttfund__JGJ5PX0</t>
  </si>
  <si>
    <t>司南股债积极蓝筹组合</t>
  </si>
  <si>
    <t>沪深300指数×70%+上证国债指数×30%</t>
  </si>
  <si>
    <t>ttfund__5BZIBKD</t>
  </si>
  <si>
    <t>久聪基金经理优选</t>
  </si>
  <si>
    <t>10%*中证全债指数收益率+90%*中证800指数收益率</t>
  </si>
  <si>
    <t>ttfund__TWVJJNJ</t>
  </si>
  <si>
    <t>易方达智航易投7号</t>
  </si>
  <si>
    <t>ttfund__FTHXFK5</t>
  </si>
  <si>
    <t>民生加银80后养老组合</t>
  </si>
  <si>
    <t>45%*中证偏股型基金指数收益率+55%*中债综合指数收益率</t>
  </si>
  <si>
    <t>ttfund__IXZQUM7</t>
  </si>
  <si>
    <t>咸蛋黄优选</t>
  </si>
  <si>
    <t>90%*中证800指数收益率 + 10%*货币基金指数收益率</t>
  </si>
  <si>
    <t>ttfund__51G6T1K</t>
  </si>
  <si>
    <t>银华天玑-00后创造未来</t>
  </si>
  <si>
    <t>沪深300*80%+中证国债指数*20%</t>
  </si>
  <si>
    <t>ttfund__SAWFRMH</t>
  </si>
  <si>
    <t>ttfund__UJZVSUO</t>
  </si>
  <si>
    <t>民生加银小牛加油组合</t>
  </si>
  <si>
    <t>中证偏股型基金指数*90%+中债综合指数*10%</t>
  </si>
  <si>
    <t>gffunds__GFJJ000007</t>
  </si>
  <si>
    <t>股债平衡大师</t>
  </si>
  <si>
    <t>50%*沪深 300+50%*中债综合全价（总值）指数；</t>
  </si>
  <si>
    <t>ttfund__JG5XMEX</t>
  </si>
  <si>
    <t>梧桐养老组合2035</t>
  </si>
  <si>
    <t>中证偏股型基金指数*50%+中证纯债债券型基金指数*45%+货币基金指数*5%</t>
  </si>
  <si>
    <t>ttfund__IB6LHUE</t>
  </si>
  <si>
    <t>银华天玑-进取白羊座</t>
  </si>
  <si>
    <t>业绩比较基准=沪深300*70%+中证国债指数*30%</t>
  </si>
  <si>
    <t>ttfund__GCKA3QB</t>
  </si>
  <si>
    <t>智航易投5号</t>
  </si>
  <si>
    <t>中证普通债券型基金指数*40%+中证偏股型基金指数*60%</t>
  </si>
  <si>
    <t>ttfund__H9IFLW2</t>
  </si>
  <si>
    <t>85后水滴养老</t>
  </si>
  <si>
    <t>沪深300*100%</t>
  </si>
  <si>
    <t>ttfund__LMKJRPP</t>
  </si>
  <si>
    <t>长跑计划2号</t>
  </si>
  <si>
    <t>业绩比较基准=沪深300*80%+中证全债*20%</t>
  </si>
  <si>
    <t>ttfund__FTJJP54</t>
  </si>
  <si>
    <t>银华天玑-90后成长未来</t>
  </si>
  <si>
    <t>沪深300*65%+中证国债指数*35%</t>
  </si>
  <si>
    <t>ttfund__KRLU47T</t>
  </si>
  <si>
    <t>gffunds__GFJJ000603</t>
  </si>
  <si>
    <t>智慧教育金2045</t>
  </si>
  <si>
    <t>沪深 300 指数收益率*X+中债综合全价指数收益率*（1-X），其 中 X 取值见下表： 年份 X 年份 X 2022 65.0% 2034 42.5% 2023 63.5% 2035 40.0% 2024 62.0% 2036 37.5% 2025 60.5% 2037 35.0% 2026 59.0% 2038 32.5% 2027 57.5% 2039 30.0% 2028 55.5% 2040 27.5% 2029 53.5% 2041 25.0% 2030 51.5% 2042 22.5% 2031 49.5% 2043 20.0% 2032 47.5% 2044 17.5% 2033 45.0% 2045 及以后 15.0%</t>
  </si>
  <si>
    <t>ttfund__PCFUHJI</t>
  </si>
  <si>
    <t>安鑫平衡精选</t>
  </si>
  <si>
    <t>中证全债指数收益率*50%+沪深300指数收益率*50%</t>
  </si>
  <si>
    <t>ttfund__HSABN0P</t>
  </si>
  <si>
    <t>中欧均衡偏股全明星</t>
  </si>
  <si>
    <t>中证偏股基金指数*70%+中债综合全价指数*30%</t>
  </si>
  <si>
    <t>ttfund__VSXHWOB</t>
  </si>
  <si>
    <t>智航易投4号</t>
  </si>
  <si>
    <t>中证普通债券型基金指数*50%+中证偏股型基金指数*50%</t>
  </si>
  <si>
    <t>ttfund__M6TBXUT</t>
  </si>
  <si>
    <t>司南锐进组合(第06期)</t>
  </si>
  <si>
    <t>ttfund__POPDTG9</t>
  </si>
  <si>
    <t>司南锐进组合(第07期)</t>
  </si>
  <si>
    <t>ttfund__Z1KBZFM</t>
  </si>
  <si>
    <t>司南锐进组合(第05期)</t>
  </si>
  <si>
    <t>ttfund__ZEWPRLR</t>
  </si>
  <si>
    <t>司南锐进组合(第04期)</t>
  </si>
  <si>
    <t>ttfund__10GPI1I</t>
  </si>
  <si>
    <t>司南锐进组合(第17期)</t>
  </si>
  <si>
    <t>ttfund__1DJMO4K</t>
  </si>
  <si>
    <t>司南锐进组合(第14期)</t>
  </si>
  <si>
    <t>ttfund__6UA9HEM</t>
  </si>
  <si>
    <t>司南锐进组合(第15期)</t>
  </si>
  <si>
    <t>ttfund__8VFC252</t>
  </si>
  <si>
    <t>司南锐进组合(第10期)</t>
  </si>
  <si>
    <t>ttfund__BWOUMRF</t>
  </si>
  <si>
    <t>司南锐进组合(第09期)</t>
  </si>
  <si>
    <t>ttfund__C7LE4FD</t>
  </si>
  <si>
    <t>司南锐进组合(第08期)</t>
  </si>
  <si>
    <t>ttfund__OCSBPNQ</t>
  </si>
  <si>
    <t>司南锐进组合(第03期)</t>
  </si>
  <si>
    <t>ttfund__RJ2SEY0</t>
  </si>
  <si>
    <t>司南锐进组合(第16期)</t>
  </si>
  <si>
    <t>ttfund__SDZXB0L</t>
  </si>
  <si>
    <t>司南锐进组合(第13期)</t>
  </si>
  <si>
    <t>ttfund__UGGUKP1</t>
  </si>
  <si>
    <t>司南锐进组合(第11期)</t>
  </si>
  <si>
    <t>ttfund__VY5GLQI</t>
  </si>
  <si>
    <t>司南锐进组合(第12期)</t>
  </si>
  <si>
    <t>ttfund__BBIENDO</t>
  </si>
  <si>
    <t>80后水滴养老</t>
  </si>
  <si>
    <t>沪深300*74.53%+中证综合债*25.47%</t>
  </si>
  <si>
    <t>ttfund__XMKENDN</t>
  </si>
  <si>
    <t>银华天玑-均衡天秤座</t>
  </si>
  <si>
    <t>业绩比较基准=沪深300*50%+中证国债指数*50%</t>
  </si>
  <si>
    <t>gffunds__GFJJ000579</t>
  </si>
  <si>
    <t>奔跑吧少年</t>
  </si>
  <si>
    <t>50%*沪深 300 指数收益率+50%*中债综合全价（总值）指数收益 率；</t>
  </si>
  <si>
    <t>ttfund__QYXAVEB</t>
  </si>
  <si>
    <t>华夏全自动超级配置策略</t>
  </si>
  <si>
    <t>ttfund__728DILV</t>
  </si>
  <si>
    <t>中欧经典股债全明星</t>
  </si>
  <si>
    <t>中债综合全价指数×40%+中证偏股基金指数×60%</t>
  </si>
  <si>
    <t>ttfund__5CIBXGQ</t>
  </si>
  <si>
    <t>ttfund__9EM60P7</t>
  </si>
  <si>
    <t>翔天指数</t>
  </si>
  <si>
    <t>55%*中证800指数收益率+40%*中证全债指数收益率 +5%*货币基金指数收益率</t>
  </si>
  <si>
    <t>ttfund__PC9MVMS</t>
  </si>
  <si>
    <t>银华天玑-80后拼搏未来</t>
  </si>
  <si>
    <t>沪深300*50%+中证国债指数*50%</t>
  </si>
  <si>
    <t>gffunds__GFJJ000602</t>
  </si>
  <si>
    <t>智慧教育金2040</t>
  </si>
  <si>
    <t>沪深 300 指数收益率*X+中债综合全价指数收益率*（1-X），其 中 X 取值见下表： 年份 X 年份 X 2022 57.5% 2032 35.0% 2023 55.5% 2033 32.5% 2024 53.5% 2034 30.0% 2025 51.5% 2035 27.5% 2026 49.5% 2036 25.0% 2027 47.5% 2037 22.5% 2028 45.0% 2038 20.0% 2029 42.5% 2039 17.5% 2030 40.0% 2040 及以后 15.0% 2031 37.5%</t>
  </si>
  <si>
    <t>ttfund__ZOOQUON</t>
  </si>
  <si>
    <t>工银瑞信积极进取</t>
  </si>
  <si>
    <t>业绩比较基准=中证800指数×90%+中证货币基金指数×10%</t>
  </si>
  <si>
    <t>gffunds__GFJJ000006</t>
  </si>
  <si>
    <t>一起幸福增长</t>
  </si>
  <si>
    <t>30%*沪深 300+70%*中债综合全价（总值）指数；</t>
  </si>
  <si>
    <t>ttfund__P5ZW105</t>
  </si>
  <si>
    <t>智航易投2号</t>
  </si>
  <si>
    <t>中证普通债券型基金指数*70%+中证偏股型基金指数*30%</t>
  </si>
  <si>
    <t>ttfund__G58CSPF</t>
  </si>
  <si>
    <t>75后水滴养老</t>
  </si>
  <si>
    <t>沪深300*57.13%+中证综合债*42.87%</t>
  </si>
  <si>
    <t>ttfund__PNRUVC9</t>
  </si>
  <si>
    <t>ttfund__5OR1KP1</t>
  </si>
  <si>
    <t>智航易投3号</t>
  </si>
  <si>
    <t>中证普通债券型基金指数*60%+中证偏股型基金指数*40%</t>
  </si>
  <si>
    <t>ttfund__JN5CWYU</t>
  </si>
  <si>
    <t>司南股债积极组合</t>
  </si>
  <si>
    <t>中证500指数×70%+上证国债指数×30%</t>
  </si>
  <si>
    <t>ttfund__UR4I6A7</t>
  </si>
  <si>
    <t>国联睿平衡</t>
  </si>
  <si>
    <t>中证800×40%+中证货币基金指数×60%</t>
  </si>
  <si>
    <t>ttfund__VGIGJXY</t>
  </si>
  <si>
    <t>睿平衡-天天尊享</t>
  </si>
  <si>
    <t>业绩比较基准=中证货币基金指数（代码：H11025.CSI）*60%+中证800指数（代码：000906.SH）*40%</t>
  </si>
  <si>
    <t>ttfund__PLCDTYC</t>
  </si>
  <si>
    <t>梧桐股债平衡组合</t>
  </si>
  <si>
    <t>沪深300指数*50%+上证国债指数*45%+货币基金指数*5%</t>
  </si>
  <si>
    <t>ttfund__WOF8KCN</t>
  </si>
  <si>
    <t>梧桐教育组合2040</t>
  </si>
  <si>
    <t>沪深300指数*权益配置中枢比例+上证国债指数*(1-权益配置中枢比例-5%)+货币基金指数*5%，初始基准55%</t>
  </si>
  <si>
    <t>zocaifu__8100000099</t>
  </si>
  <si>
    <t>水滴英才计划-目标2035</t>
  </si>
  <si>
    <t>沪深 300 指数收益率*下滑曲线值+中证综合债指数收益率*(1- 下滑曲线值)</t>
  </si>
  <si>
    <t>ttfund__ULY0DUH</t>
  </si>
  <si>
    <t>银华天玑-温柔双鱼座</t>
  </si>
  <si>
    <t>业绩比较基准=沪深300*30%+中证国债指数*70%</t>
  </si>
  <si>
    <t>ttfund__KX6QVNZ</t>
  </si>
  <si>
    <t>民生加银90后养老组合</t>
  </si>
  <si>
    <t>65%*中证偏股型基金指数收益率+35%*中债综合指数收益率</t>
  </si>
  <si>
    <t>gffunds__GFJJ000601</t>
  </si>
  <si>
    <t>智慧教育金2035</t>
  </si>
  <si>
    <t>沪深 300 指数收益率*X+中债综合全价指数收益率*（1-X），其 中 X 取值见下表： 年份 X 年份 X 2022 47.5% 2029 30.0% 2023 45.0% 2030 27.5% 2024 42.5% 2031 25.0% 2025 40.0% 2032 22.5% 2026 37.5% 2033 20.0% 2027 35.0% 2034 17.5% 2028 32.5% 2035 及以后 15.0%</t>
  </si>
  <si>
    <t>zocaifu__8100000096</t>
  </si>
  <si>
    <t>水滴英才计划-目标2026</t>
  </si>
  <si>
    <t>ttfund__WQ8EO33</t>
  </si>
  <si>
    <t>景顺长城六边形精选</t>
  </si>
  <si>
    <t>业绩比较基准=沪深300指数*90%+中证全债指数*5%+中证货币基金指数*5%</t>
  </si>
  <si>
    <t>ttfund__B3KF2QG</t>
  </si>
  <si>
    <t>国联平衡小目标04期</t>
  </si>
  <si>
    <t>ttfund__EQ5Q5HW</t>
  </si>
  <si>
    <t>带你投稳中求进</t>
  </si>
  <si>
    <t>40%*沪深300+60%*中债综合全价（总值）指数</t>
  </si>
  <si>
    <t>gffunds__GFJJ000005</t>
  </si>
  <si>
    <t>稳健向前跑</t>
  </si>
  <si>
    <t>沪深 300 指数收益率*20%+中债综合全价（总值）指数收益率 *80%</t>
  </si>
  <si>
    <t>zocaifu__8100000098</t>
  </si>
  <si>
    <t>水滴英才计划-目标2032</t>
  </si>
  <si>
    <t>ttfund__YL08YG6</t>
  </si>
  <si>
    <t>尊享财富启航计划（测试）</t>
  </si>
  <si>
    <t>中证综合债*60%+沪深300指数*40%</t>
  </si>
  <si>
    <t>ttfund__YGD6IS1</t>
  </si>
  <si>
    <t>国富川流不息固收增强组合</t>
  </si>
  <si>
    <t>15%中证偏股型基金指数+ 85%中证债券型基金指数</t>
  </si>
  <si>
    <t>ttfund__1AELDGX</t>
  </si>
  <si>
    <t>工银瑞信均衡配置</t>
  </si>
  <si>
    <t>业绩比较基准=上证国债指数×55%+中证800指数×40%+中证货币基金指数×5%</t>
  </si>
  <si>
    <t>ttfund__BPJH4HM</t>
  </si>
  <si>
    <t>交银目标盈Pro第1期</t>
  </si>
  <si>
    <t>80%*中债综合全价指数+20%*中证偏股基金指数</t>
  </si>
  <si>
    <t>zocaifu__8100000097</t>
  </si>
  <si>
    <t>水滴英才计划-目标2029</t>
  </si>
  <si>
    <t>ttfund__XMMUGXC</t>
  </si>
  <si>
    <t>华安端水加点债</t>
  </si>
  <si>
    <t>中证800纯收益*40%+中债综合指数*60%</t>
  </si>
  <si>
    <t>ttfund__QCNMARK</t>
  </si>
  <si>
    <t>兴全优享步步高</t>
  </si>
  <si>
    <t>75%中证普通债券型基金指数+25%中证偏股基金指数</t>
  </si>
  <si>
    <t>ttfund__VNUQP0R</t>
  </si>
  <si>
    <t>东财幸福目标盈第1期</t>
  </si>
  <si>
    <t>15%沪深300指数+85%中债综合全价指数</t>
  </si>
  <si>
    <t>ttfund__VPNHKDU</t>
  </si>
  <si>
    <t>交银目标盈Pro</t>
  </si>
  <si>
    <t>80%中债综合全价指数+20%中证偏股基金指数</t>
  </si>
  <si>
    <t>gffunds__GFJJ000600</t>
  </si>
  <si>
    <t>智慧教育金2030</t>
  </si>
  <si>
    <t>沪深 300 指数收益率*X+中债综合全价指数收益率*（1-X），其 中 X 取值见下表： 年份 X 年份 X 2022 35.0% 2027 22.5% 2023 32.5% 2028 20.0% 2024 30.0% 2029 17.5% 2025 27.5% 2030 及以后 15.0% 2026 25.0%</t>
  </si>
  <si>
    <t>ttfund__2MGSEMP</t>
  </si>
  <si>
    <t>富国双子星股债均衡</t>
  </si>
  <si>
    <t>中债综合全价指数收益率*50%+中证偏股混合基金指数*50%</t>
  </si>
  <si>
    <t>ttfund__3A0QKYY</t>
  </si>
  <si>
    <t>司南医药基金精选</t>
  </si>
  <si>
    <t>中证医药*100%</t>
  </si>
  <si>
    <t>ttfund__OAUPIF2</t>
  </si>
  <si>
    <t>工银瑞信权益精选</t>
  </si>
  <si>
    <t>业绩比较基准=上证国债指数×25%+中证800指数×70%+中证货币基金指数×5%</t>
  </si>
  <si>
    <t>ttfund__OWQ0SOM</t>
  </si>
  <si>
    <t>财兔优选</t>
  </si>
  <si>
    <t>ttfund__KTAQQ5C</t>
  </si>
  <si>
    <t>建信小幸运目标盈组合策略12期</t>
  </si>
  <si>
    <t>80%国债指数+15%沪深300指数+5%中证货币基金指数</t>
  </si>
  <si>
    <t>ttfund__N7SBTCN</t>
  </si>
  <si>
    <t>建信小幸运目标盈组合策略13期</t>
  </si>
  <si>
    <t>ttfund__N6BWWYZ</t>
  </si>
  <si>
    <t>广发多元平衡目标盈</t>
  </si>
  <si>
    <t>ttfund__KNJ2K4S</t>
  </si>
  <si>
    <t>工银瑞信均衡配置（直销）</t>
  </si>
  <si>
    <t>ttfund__CS4ZFQH</t>
  </si>
  <si>
    <t>砺远天颐</t>
  </si>
  <si>
    <t>沪深300指数（000300）收益率×30%+中债新综合全价（总值）指数（CBA00103）收益率×70%</t>
  </si>
  <si>
    <t>ttfund__0OYZBNC</t>
  </si>
  <si>
    <t>东财幸福目标盈第2期</t>
  </si>
  <si>
    <t>ttfund__QXWTWD2</t>
  </si>
  <si>
    <t>东财财富目标盈第3期</t>
  </si>
  <si>
    <t>35%中证800指数+65%中债综合全价指数</t>
  </si>
  <si>
    <t>ttfund__IH8ICTB</t>
  </si>
  <si>
    <t>幸福八八小目标天天01期</t>
  </si>
  <si>
    <t>沪深300指数×40%+中证综合债指数×60%</t>
  </si>
  <si>
    <t>ttfund__F6HD2SW</t>
  </si>
  <si>
    <t>星辰稳健</t>
  </si>
  <si>
    <t>"70%*中债总全价指数收益率 +30%*中证800指数收益率</t>
  </si>
  <si>
    <t>ttfund__DBNYENK</t>
  </si>
  <si>
    <t>嘉实攻守道太极组合</t>
  </si>
  <si>
    <t>沪深300指数×50%+中证全债指数×50%</t>
  </si>
  <si>
    <t>ttfund__QZODEFS</t>
  </si>
  <si>
    <t>永动机平衡型</t>
  </si>
  <si>
    <t>中证全债指数*30%+中证800指数收益率*70%</t>
  </si>
  <si>
    <t>ttfund__GZ5KDRG</t>
  </si>
  <si>
    <t>指数生财</t>
  </si>
  <si>
    <t>60%中证800指数+40%货币基金指数</t>
  </si>
  <si>
    <t>ttfund__X5QZA87</t>
  </si>
  <si>
    <t>交银目标盈Pro第2期</t>
  </si>
  <si>
    <t>ttfund__0AK1WBS</t>
  </si>
  <si>
    <t>鹏华看风启航目标盈第2期</t>
  </si>
  <si>
    <t>中证短债指数*50%+中证800指数*50%</t>
  </si>
  <si>
    <t>ttfund__IJCU4XV</t>
  </si>
  <si>
    <t>鹏华看风启航目标盈第1期</t>
  </si>
  <si>
    <t>ttfund__JCPZWBY</t>
  </si>
  <si>
    <t>小微精选</t>
  </si>
  <si>
    <t>95%*中证1000指数
+5%*中证货币指数</t>
  </si>
  <si>
    <t>gffunds__GFJJ000835</t>
  </si>
  <si>
    <t>稳健优选组合</t>
  </si>
  <si>
    <t>沪深 300 指数收益率*10%+中债综合全价（总值）指数收益率 *90%</t>
  </si>
  <si>
    <t>FOF-稳健型</t>
  </si>
  <si>
    <t>ttfund__0ASIQZC</t>
  </si>
  <si>
    <t>中欧现金增强（测试）</t>
  </si>
  <si>
    <t>货币市场基金指数×100%</t>
  </si>
  <si>
    <t>ttfund__LE7N2NU</t>
  </si>
  <si>
    <t>农银智享稳健</t>
  </si>
  <si>
    <t>沪深300指数*15%+中债综合全价（总值）指数*85%</t>
  </si>
  <si>
    <t>ttfund__LVPR9FS</t>
  </si>
  <si>
    <t>慧投天天第2期投顾服务(8周年尊享)</t>
  </si>
  <si>
    <t>ttfund__WSHZVLD</t>
  </si>
  <si>
    <t>慧投天天第1期投顾服务</t>
  </si>
  <si>
    <t>ttfund__0VDSNXX</t>
  </si>
  <si>
    <t>添富平衡</t>
  </si>
  <si>
    <t>沪深300指数收益率*50%+中债综合指数收益率*50%</t>
  </si>
  <si>
    <t>ttfund__FD0O1WC</t>
  </si>
  <si>
    <t>申度稳健</t>
  </si>
  <si>
    <t>中证800*25%+上证国债*75%</t>
  </si>
  <si>
    <t>ttfund__UQQM72G</t>
  </si>
  <si>
    <t>银河目标盈02期</t>
  </si>
  <si>
    <t>ttfund__D0WOFKH</t>
  </si>
  <si>
    <t>幸福小列车Plus第1期投顾服务</t>
  </si>
  <si>
    <t>沪深300指数收益率*30%+中债综合全价（总值）指数收益率*70%</t>
  </si>
  <si>
    <t>ttfund__MITYFYS</t>
  </si>
  <si>
    <t>银华天玑-小星愿目标盈第07期</t>
  </si>
  <si>
    <t>20%*沪深300指数+85%*中证国债指数</t>
  </si>
  <si>
    <t>ttfund__4LB2XCK</t>
  </si>
  <si>
    <t>工银瑞信目标赢11期</t>
  </si>
  <si>
    <t>中债国债总财富（1-3 年）指数×75%+中证800指数×20%+中证货币基金指数*5%</t>
  </si>
  <si>
    <t>ttfund__AELFPAC</t>
  </si>
  <si>
    <t>工银瑞信目标赢01期</t>
  </si>
  <si>
    <t>ttfund__CE1CSYM</t>
  </si>
  <si>
    <t>工银瑞信目标赢10期</t>
  </si>
  <si>
    <t>ttfund__EXGGLNV</t>
  </si>
  <si>
    <t>工银瑞信目标赢05期</t>
  </si>
  <si>
    <t>ttfund__F6F7UZR</t>
  </si>
  <si>
    <t>工银瑞信目标赢03期</t>
  </si>
  <si>
    <t>ttfund__FPMRE6G</t>
  </si>
  <si>
    <t>工银瑞信目标赢09期</t>
  </si>
  <si>
    <t>ttfund__GD0XPLR</t>
  </si>
  <si>
    <t>工银瑞信目标赢07期</t>
  </si>
  <si>
    <t>ttfund__IDRBZTP</t>
  </si>
  <si>
    <t>工银瑞信目标赢04期</t>
  </si>
  <si>
    <t>ttfund__OKYWR3F</t>
  </si>
  <si>
    <t>工银瑞信目标赢08期</t>
  </si>
  <si>
    <t>ttfund__PSSOL1E</t>
  </si>
  <si>
    <t>工银瑞信目标赢06期</t>
  </si>
  <si>
    <t>ttfund__RWG07ND</t>
  </si>
  <si>
    <t>工银瑞信目标赢02期</t>
  </si>
  <si>
    <t>ttfund__USCAEMN</t>
  </si>
  <si>
    <t>银华天玑-70后悦享未来</t>
  </si>
  <si>
    <t>业绩比较基准=沪深300*35%+中证国债指数*65%</t>
  </si>
  <si>
    <t>ttfund__6VLEC2I</t>
  </si>
  <si>
    <t>景顺长城目标盈</t>
  </si>
  <si>
    <t>20%沪深300指数+5%中证货币基金指数+75%中债综合全价（总值）指数</t>
  </si>
  <si>
    <t>ttfund__509EYJT</t>
  </si>
  <si>
    <t>景顺长城目标盈05期</t>
  </si>
  <si>
    <t>沪深300指数*20%+中债综合全价（总值）指数*75%+中证货币基金指数*5%</t>
  </si>
  <si>
    <t>ttfund__DKYFFZ9</t>
  </si>
  <si>
    <t>景顺长城目标盈07期</t>
  </si>
  <si>
    <t>ttfund__DMO1EKA</t>
  </si>
  <si>
    <t>景顺长城目标盈08期</t>
  </si>
  <si>
    <t>ttfund__HVCKYC1</t>
  </si>
  <si>
    <t>景顺长城目标盈10期</t>
  </si>
  <si>
    <t>ttfund__TOEWWZY</t>
  </si>
  <si>
    <t>景顺长城目标盈06期</t>
  </si>
  <si>
    <t>ttfund__OMTKGSQ</t>
  </si>
  <si>
    <t>梧桐教育组合2030</t>
  </si>
  <si>
    <t>沪深300指数*权益配置中枢比例+上证国债指数*(1-权益配置中枢比例-5%)+货币基金指数*5%，初始基准45%</t>
  </si>
  <si>
    <t>ttfund__2L9JSJG</t>
  </si>
  <si>
    <t>景顺长城目标盈09期</t>
  </si>
  <si>
    <t>ttfund__Z8Y7ERA</t>
  </si>
  <si>
    <t>国富小目标02期</t>
  </si>
  <si>
    <t>15%中证偏股型基金指数+ 80%中证债券型基金指数+ 5%中证货币基金指数</t>
  </si>
  <si>
    <t>ttfund__7ZSLPH1</t>
  </si>
  <si>
    <t>国信固收嘉</t>
  </si>
  <si>
    <t>中证综合全价（总值）指数收益率*80%+中证800指数收益率*20%</t>
  </si>
  <si>
    <t>ttfund__1AF0DKO</t>
  </si>
  <si>
    <t>大方向平稳小目标02期</t>
  </si>
  <si>
    <t>ttfund__QBR0AKZ</t>
  </si>
  <si>
    <t>银华天玑-八方来财</t>
  </si>
  <si>
    <t>沪深300*25%+中证国债指数*75%</t>
  </si>
  <si>
    <t>ttfund__8VZ6AVT</t>
  </si>
  <si>
    <t>万家稳稳小目标04期</t>
  </si>
  <si>
    <t>沪深300指数*10%+中债新综合全价指数*90%</t>
  </si>
  <si>
    <t>zocaifu__8100000095</t>
  </si>
  <si>
    <t>水滴英才计划-目标2023</t>
  </si>
  <si>
    <t>ttfund__T1KEXJ2</t>
  </si>
  <si>
    <t>银华天玑-债基+组合</t>
  </si>
  <si>
    <t>沪深300（000300.SH）*20%+中证全债指数 (H11001.CSI) *80%</t>
  </si>
  <si>
    <t>ttfund__PY5QB9H</t>
  </si>
  <si>
    <t>南方目标盈升级第1期（新年版）</t>
  </si>
  <si>
    <t>沪深300全收益指数*20%+中证企业债指数*80%</t>
  </si>
  <si>
    <t>ttfund__SXB78F4</t>
  </si>
  <si>
    <t>万家稳稳小目标01期</t>
  </si>
  <si>
    <t>ttfund__2KTRSE1</t>
  </si>
  <si>
    <t>鹏华稳健进取固收+</t>
  </si>
  <si>
    <t>中债-综合财富(总值)指数收益率*90%+中证800指数收益率*10%</t>
  </si>
  <si>
    <t>ttfund__6TQWN20</t>
  </si>
  <si>
    <t>银河目标盈2号02期（新年特别版）</t>
  </si>
  <si>
    <t>ttfund__FKUKFXV</t>
  </si>
  <si>
    <t>小微波目标盈天天01期</t>
  </si>
  <si>
    <t>中证短债指数*95%+中证800指数*5%</t>
  </si>
  <si>
    <t>ttfund__RVWRDLE</t>
  </si>
  <si>
    <t>添富目标盈2期投顾服务</t>
  </si>
  <si>
    <t>沪深300指数*20%+中债综合指数*80%</t>
  </si>
  <si>
    <t>ttfund__UVTJZ2Y</t>
  </si>
  <si>
    <t>小微波目标盈天天02期</t>
  </si>
  <si>
    <t>ttfund__61TR11Z</t>
  </si>
  <si>
    <t>万家非凡稳健1号</t>
  </si>
  <si>
    <t>15%*中证800指数收益率+85%*中债综合全价(总值)指数收益率</t>
  </si>
  <si>
    <t>ttfund__BEPOU9P</t>
  </si>
  <si>
    <t>混合偏债收益增强策略</t>
  </si>
  <si>
    <t>中证800指数×25%+上证国债指数×75%</t>
  </si>
  <si>
    <t>ttfund__P2RTPDU</t>
  </si>
  <si>
    <t>景顺长城低波小美好</t>
  </si>
  <si>
    <t>业绩比较基准=沪深300指数收益率 *15%+中债综合全价（总值）指数收益率 *80%+中证货币基金指数收益率 *5%</t>
  </si>
  <si>
    <t>ttfund__GHCCUYV</t>
  </si>
  <si>
    <t>国富小目标03期</t>
  </si>
  <si>
    <t>ttfund__YH1BZOK</t>
  </si>
  <si>
    <t>国富小目标04期</t>
  </si>
  <si>
    <t>ttfund__TO5A2AV</t>
  </si>
  <si>
    <t>70后水滴养老</t>
  </si>
  <si>
    <t>沪深300*45.05%+中证综合债*54.95%</t>
  </si>
  <si>
    <t>ttfund__3A1SV0X</t>
  </si>
  <si>
    <t>民生加银智投小赢家05期</t>
  </si>
  <si>
    <t>业绩比较基准=中证偏股型基金指数收益率*15%+中债综合指数收益率*85%</t>
  </si>
  <si>
    <t>ttfund__T0QIP9Z</t>
  </si>
  <si>
    <t>安鑫固收加</t>
  </si>
  <si>
    <t>业绩比较基准=沪深300*10%+中证全债*90%</t>
  </si>
  <si>
    <t>ttfund__EQ2GPJN</t>
  </si>
  <si>
    <t>工银瑞信目标赢12期</t>
  </si>
  <si>
    <t>ttfund__G3D2964</t>
  </si>
  <si>
    <t>国富小美好固收增强组合</t>
  </si>
  <si>
    <t>ttfund__ZQPCQPM</t>
  </si>
  <si>
    <t>建信小幸运目标盈组合策略21期</t>
  </si>
  <si>
    <t>ttfund__DNPIHPQ</t>
  </si>
  <si>
    <t>万家非凡小目标04期</t>
  </si>
  <si>
    <t>55%*科创100指数收益率+30%*创业板指数收益率+15%*中债综合全价(总值)指数收益率</t>
  </si>
  <si>
    <t>ttfund__DMJAIPP</t>
  </si>
  <si>
    <t>国信理财乐</t>
  </si>
  <si>
    <t>中证800指数收益率*10%+中债综合全价（总值）指数收益率*90%</t>
  </si>
  <si>
    <t>ttfund__CHVBDH0</t>
  </si>
  <si>
    <t>国富小目标01期</t>
  </si>
  <si>
    <t>20%中证偏股型基金指数+ 75%中证债券型基金指数+ 5%中证货币基金指数</t>
  </si>
  <si>
    <t>ttfund__JLBE1GB</t>
  </si>
  <si>
    <t>华泰柏瑞小幸运第2期投顾服务</t>
  </si>
  <si>
    <t>沪深300指数*15%+中证综合债券指数*85%</t>
  </si>
  <si>
    <t>ttfund__YR3U9XG</t>
  </si>
  <si>
    <t>小微波目标盈天天08期</t>
  </si>
  <si>
    <t>95%*中证短债 + 5%*中证800</t>
  </si>
  <si>
    <t>ttfund__WZOCEIK</t>
  </si>
  <si>
    <t>华泰柏瑞小幸运第1期投顾服务</t>
  </si>
  <si>
    <t>ttfund__YXXOZLS</t>
  </si>
  <si>
    <t>小微波目标盈天天04期</t>
  </si>
  <si>
    <t>ttfund__XQR30UU</t>
  </si>
  <si>
    <t>民生加银固收福禄宝组合</t>
  </si>
  <si>
    <t>中证偏股型基金指数*15%+中债综合指数*85%</t>
  </si>
  <si>
    <t>ttfund__2HPWYLH</t>
  </si>
  <si>
    <t>启明星理财升级目标盈04期</t>
  </si>
  <si>
    <t>中证全债指数收益率*85%+中证偏股基金指数收益率*15%</t>
  </si>
  <si>
    <t>ttfund__3GR6SHU</t>
  </si>
  <si>
    <t>启明星理财升级目标盈07期</t>
  </si>
  <si>
    <t>ttfund__ASFP5CL</t>
  </si>
  <si>
    <t>启明星理财升级目标盈08期</t>
  </si>
  <si>
    <t>ttfund__EZRMNYC</t>
  </si>
  <si>
    <t>启明星理财升级目标盈06期</t>
  </si>
  <si>
    <t>ttfund__FDYVTCO</t>
  </si>
  <si>
    <t>启明星理财升级目标盈05期</t>
  </si>
  <si>
    <t>ttfund__GS8XIUI</t>
  </si>
  <si>
    <t>万家稳稳向钱冲</t>
  </si>
  <si>
    <t>5%*沪深300指数收益率+95%*中债新综合全价指数收益率</t>
  </si>
  <si>
    <t>ttfund__MRRGIL8</t>
  </si>
  <si>
    <t>富国富足人生理财升级</t>
  </si>
  <si>
    <t>中债综合全价指数收益率*85%+中证偏股混合基金指数*15%</t>
  </si>
  <si>
    <t>ttfund__UT9WXGJ</t>
  </si>
  <si>
    <t>启明星理财升级目标盈09期</t>
  </si>
  <si>
    <t>ttfund__BTNY075</t>
  </si>
  <si>
    <t>小微波目标盈天天09期</t>
  </si>
  <si>
    <t>ttfund__OZY0TLZ</t>
  </si>
  <si>
    <t>工银瑞信稳健成长</t>
  </si>
  <si>
    <t>业绩比较基准=上证国债指数×80%+中证800指数×15%+中证货币基金指数×5%</t>
  </si>
  <si>
    <t>ttfund__FXBNMWF</t>
  </si>
  <si>
    <t>小微波目标盈天天07期</t>
  </si>
  <si>
    <t>ttfund__PK0RZPA</t>
  </si>
  <si>
    <t>小微波目标盈天天03期</t>
  </si>
  <si>
    <t>ttfund__1I188TR</t>
  </si>
  <si>
    <t>鹏华福禄禧目标盈第2期</t>
  </si>
  <si>
    <t>中证短债指数*83%+中证800指数*15%+中证货币基金指数*2%</t>
  </si>
  <si>
    <t>ttfund__CYBM8TU</t>
  </si>
  <si>
    <t>鹏华福禄禧目标盈第3期</t>
  </si>
  <si>
    <t>83%中证短债指数+20%中证800 指数+ 2%中证_x000D_
货币基金指数指数</t>
  </si>
  <si>
    <t>ttfund__PKSBA7Y</t>
  </si>
  <si>
    <t>鹏华福禄禧目标盈第1期</t>
  </si>
  <si>
    <t>ttfund__83XWU6X</t>
  </si>
  <si>
    <t>小常乐目标盈天天05期</t>
  </si>
  <si>
    <t>中证全债指数*85%+中证800指数*10%+中证货币基金指数*5%</t>
  </si>
  <si>
    <t>ttfund__VF3Y7R5</t>
  </si>
  <si>
    <t>华泰柏瑞小优势（目标盈）组合策略</t>
  </si>
  <si>
    <t>15%*中证A股指数+85%*中债总指数（全价）</t>
  </si>
  <si>
    <t>ttfund__2UVNSAF</t>
  </si>
  <si>
    <t>银华天玑-小星愿目标盈第16期</t>
  </si>
  <si>
    <t>80%中证国债指数+20%沪深300指数</t>
  </si>
  <si>
    <t>ttfund__BB7W0P1</t>
  </si>
  <si>
    <t>银华天玑-小星愿目标盈第14期</t>
  </si>
  <si>
    <t>ttfund__CBCJEP7</t>
  </si>
  <si>
    <t>银华天玑-小星愿目标盈第13期</t>
  </si>
  <si>
    <t>ttfund__PILQOEY</t>
  </si>
  <si>
    <t>银华天玑-小星愿目标盈第15期</t>
  </si>
  <si>
    <t>gffunds__GFJJ000078</t>
  </si>
  <si>
    <t>超级理财加（机构版）</t>
  </si>
  <si>
    <t>沪深 300 指数收益率*8%+中债综合全价（总值） 指数收益率*92%</t>
  </si>
  <si>
    <t>ttfund__WBXT8ML</t>
  </si>
  <si>
    <t>小常乐目标盈天天04期</t>
  </si>
  <si>
    <t>ttfund__VUOJHX6</t>
  </si>
  <si>
    <t>东财安逸舒心</t>
  </si>
  <si>
    <t>沪深300指数（000300）*5%  + 中债综合全价指数（CBA00203）*95%</t>
  </si>
  <si>
    <t>ttfund__16KJ20Z</t>
  </si>
  <si>
    <t>65后水滴养老</t>
  </si>
  <si>
    <t>沪深300*32.70%+中证综合债*67.30%</t>
  </si>
  <si>
    <t>ttfund__YSYJQB1</t>
  </si>
  <si>
    <t>万家稳稳小目标02期</t>
  </si>
  <si>
    <t>ttfund__NBDU0P1</t>
  </si>
  <si>
    <t>建信小幸运目标盈10期</t>
  </si>
  <si>
    <t>沪深300指数*15%+上证国债指数*80%+货币基金指数*5%</t>
  </si>
  <si>
    <t>ttfund__MTEXBKY</t>
  </si>
  <si>
    <t>工银瑞信固收增强</t>
  </si>
  <si>
    <t>业绩比较基准=上证国债指数×85%+中证800指数×10%+中证货币基金指数×5%</t>
  </si>
  <si>
    <t>ttfund__LU1O1FZ</t>
  </si>
  <si>
    <t>小微波目标盈天天05期</t>
  </si>
  <si>
    <t>ttfund__2F0HXFG</t>
  </si>
  <si>
    <t>万家稳稳小目标06期</t>
  </si>
  <si>
    <t>ttfund__SNVQECU</t>
  </si>
  <si>
    <t>万家稳稳小目标03期</t>
  </si>
  <si>
    <t>ttfund__BGYDX5V</t>
  </si>
  <si>
    <t>博时二八平衡</t>
  </si>
  <si>
    <t>20%*沪深300指数+80%*纯债债基指数</t>
  </si>
  <si>
    <t>ttfund__DG8CQIT</t>
  </si>
  <si>
    <t>小微波目标盈天天06期</t>
  </si>
  <si>
    <t>ttfund__1OFFZXW</t>
  </si>
  <si>
    <t>国富乘风破浪小目标组合</t>
  </si>
  <si>
    <t>15%中证偏股型基金指数+80%中证债券型基金指数+5%中证货币市场基金</t>
  </si>
  <si>
    <t>ttfund__0KPN0CG</t>
  </si>
  <si>
    <t>华安小盈加05期</t>
  </si>
  <si>
    <t>ttfund__BZQITFT</t>
  </si>
  <si>
    <t>华安小盈加07期</t>
  </si>
  <si>
    <t>ttfund__CZNWYHU</t>
  </si>
  <si>
    <t>华安小盈加02期</t>
  </si>
  <si>
    <t>ttfund__JG1WMK1</t>
  </si>
  <si>
    <t>华安小盈加08期</t>
  </si>
  <si>
    <t>ttfund__L6CID3M</t>
  </si>
  <si>
    <t>华安小盈加04期</t>
  </si>
  <si>
    <t>ttfund__S7FMQ8X</t>
  </si>
  <si>
    <t>华安小盈加06期</t>
  </si>
  <si>
    <t>ttfund__WUPU2MY</t>
  </si>
  <si>
    <t>华安小盈加03期</t>
  </si>
  <si>
    <t>gffunds__GFJJ000759</t>
  </si>
  <si>
    <t>稳健增强组合</t>
  </si>
  <si>
    <t>沪深 300 指数收益率*15%+中债综合全价（总值）指数收益率 *85%；</t>
  </si>
  <si>
    <t>gffunds__GFJJ000782</t>
  </si>
  <si>
    <t>稳健理财组合</t>
  </si>
  <si>
    <t>ttfund__0RITRSE</t>
  </si>
  <si>
    <t>南方小目标第5期投顾服务(年中版)</t>
  </si>
  <si>
    <t>沪深300全收益指数*5%+中证企业债指数*95%</t>
  </si>
  <si>
    <t>ttfund__1F0OBRW</t>
  </si>
  <si>
    <t>南方小目标第6期投顾服务</t>
  </si>
  <si>
    <t>ttfund__AMHL10P</t>
  </si>
  <si>
    <t>南方小目标第3期投顾服务</t>
  </si>
  <si>
    <t>ttfund__GCUDULC</t>
  </si>
  <si>
    <t>南方小目标第9期投顾服务</t>
  </si>
  <si>
    <t>ttfund__HFAATAG</t>
  </si>
  <si>
    <t>南方小目标第7期投顾服务</t>
  </si>
  <si>
    <t>ttfund__PDLHJER</t>
  </si>
  <si>
    <t>南方小目标第4期投顾服务</t>
  </si>
  <si>
    <t>ttfund__ZSRSX2I</t>
  </si>
  <si>
    <t>南方小目标第8期投顾服务</t>
  </si>
  <si>
    <t>ttfund__CJP4TDK</t>
  </si>
  <si>
    <t>景顺长城稳稳小确幸</t>
  </si>
  <si>
    <t>沪深300指数收益率*5%+中证全债指数收益率*90%+中证货币基金指数收益率*5%</t>
  </si>
  <si>
    <t>gffunds__GFJJ000768</t>
  </si>
  <si>
    <t>稳健增长组合</t>
  </si>
  <si>
    <t>ttfund__GTFVHR5</t>
  </si>
  <si>
    <t>添富目标盈11期投顾服务</t>
  </si>
  <si>
    <t>沪深300指数收益率*20%+中债综合指数收益率*80%</t>
  </si>
  <si>
    <t>ttfund__RIKYZRX</t>
  </si>
  <si>
    <t>添富目标盈9期投顾服务</t>
  </si>
  <si>
    <t>ttfund__TBJB6UU</t>
  </si>
  <si>
    <t>添富目标盈5期投顾服务</t>
  </si>
  <si>
    <t>ttfund__XU2TKGQ</t>
  </si>
  <si>
    <t>添富目标盈8期投顾服务</t>
  </si>
  <si>
    <t>ttfund__BV1UZFM</t>
  </si>
  <si>
    <t>添富目标盈10期投顾服务</t>
  </si>
  <si>
    <t>ttfund__1GBSDE6</t>
  </si>
  <si>
    <t>添富目标盈7期投顾服务</t>
  </si>
  <si>
    <t>ttfund__OFF6YQF</t>
  </si>
  <si>
    <t>添富目标盈4期投顾服务</t>
  </si>
  <si>
    <t>ttfund__QQPMXKK</t>
  </si>
  <si>
    <t>东财稳健乐享</t>
  </si>
  <si>
    <t>沪深300指数（000300）*20%  + 中债综合全价指数（CBA00203）*80%</t>
  </si>
  <si>
    <t>ttfund__UO0NUPR</t>
  </si>
  <si>
    <t>和光无为</t>
  </si>
  <si>
    <t>中证全债指数收益率*90%+沪深300指数收益率*10%</t>
  </si>
  <si>
    <t>ttfund__1SFGK2K</t>
  </si>
  <si>
    <t>添富目标盈3期投顾服务</t>
  </si>
  <si>
    <t>ttfund__9OEHZM1</t>
  </si>
  <si>
    <t>添富目标盈6期投顾服务</t>
  </si>
  <si>
    <t>ttfund__OENN9UW</t>
  </si>
  <si>
    <t>兴全求稳步步高</t>
  </si>
  <si>
    <t>85%中证普通债券型基金指数+15%中证偏股基金指数</t>
  </si>
  <si>
    <t>ttfund__1JPGKZJ</t>
  </si>
  <si>
    <t>添富稳健严选</t>
  </si>
  <si>
    <t>ttfund__DYOFRZG</t>
  </si>
  <si>
    <t>大成滚雪球</t>
  </si>
  <si>
    <t>90%*中债总全价指数收益率+10%*中证800指数收益率</t>
  </si>
  <si>
    <t>ttfund__NXMABHK</t>
  </si>
  <si>
    <t>久聪固收Plus</t>
  </si>
  <si>
    <t>80%*中证全债指数收益率+20%*中证800指数收益率</t>
  </si>
  <si>
    <t>ttfund__BPU1PLF</t>
  </si>
  <si>
    <t>添富目标盈13期投顾服务</t>
  </si>
  <si>
    <t>ttfund__BZAZSAD</t>
  </si>
  <si>
    <t>添富稳稳小确幸</t>
  </si>
  <si>
    <t>ttfund__X1YG1QQ</t>
  </si>
  <si>
    <t>小小的太阳</t>
  </si>
  <si>
    <t>10%*沪深300+90%*中债综合全价（总值）指数</t>
  </si>
  <si>
    <t>ttfund__2WU9ZWR</t>
  </si>
  <si>
    <t>稳步前进</t>
  </si>
  <si>
    <t>95%*中证全债指数收益率+5%*货币基金指数收益率</t>
  </si>
  <si>
    <t>ttfund__1H1XJHZ</t>
  </si>
  <si>
    <t>银华天玑-六六大顺</t>
  </si>
  <si>
    <t>沪深300*10%+中证国债指数*90%</t>
  </si>
  <si>
    <t>ttfund__NHTF6B3</t>
  </si>
  <si>
    <t>华安闲钱聪明投</t>
  </si>
  <si>
    <t>中证800纯收益*20%+中债综合指数*80%</t>
  </si>
  <si>
    <t>gffunds__GFJJ000004</t>
  </si>
  <si>
    <t>沪深 300 指数收益率*10%+中债综合全价（总值）指数收益率 *90%；</t>
  </si>
  <si>
    <t>ttfund__SA47IVX</t>
  </si>
  <si>
    <t>我要稳稳的幸福（直销）</t>
  </si>
  <si>
    <t>沪深300*10%+中债综合全价指数*90%</t>
  </si>
  <si>
    <t>ttfund__XTNVDBG</t>
  </si>
  <si>
    <t>富国守护星稳健理财</t>
  </si>
  <si>
    <t>中债综合全价指数收益率*90%+中证偏股混合基金指数*10%</t>
  </si>
  <si>
    <t>ttfund__E9Q0IHD</t>
  </si>
  <si>
    <t>交银低波股债指数（直销）</t>
  </si>
  <si>
    <t>90%×中债综合全价指数+10%×中证红利指数</t>
  </si>
  <si>
    <t>ttfund__UB2HHW7</t>
  </si>
  <si>
    <t>华泰柏瑞小幸福66第1期投顾服务</t>
  </si>
  <si>
    <t>ttfund__7K964EW</t>
  </si>
  <si>
    <t>添富目标盈12期投顾服务</t>
  </si>
  <si>
    <t>ttfund__5E8Z5TJ</t>
  </si>
  <si>
    <t>建信小幸运目标盈7期</t>
  </si>
  <si>
    <t>ttfund__LNOT1HX</t>
  </si>
  <si>
    <t>建信小幸运目标盈第5期投顾服务</t>
  </si>
  <si>
    <t>ttfund__URMLSSC</t>
  </si>
  <si>
    <t>梧桐双季红收益增强组合</t>
  </si>
  <si>
    <t>ttfund__ZZIPQKA</t>
  </si>
  <si>
    <t>建信小幸运目标盈第6期投顾服务</t>
  </si>
  <si>
    <t>ttfund__1ZNYOLX</t>
  </si>
  <si>
    <t>幸福小列车第3期投顾服务</t>
  </si>
  <si>
    <t>沪深300指数收益率*10%+中债综合全价（总值）指数收益率*90%</t>
  </si>
  <si>
    <t>ttfund__DXC2XFI</t>
  </si>
  <si>
    <t>幸福小列车目标盈第8期</t>
  </si>
  <si>
    <t>沪深300指数收益率*10%+中债综合全价（总值）指数收益率_x000D_
*90%</t>
  </si>
  <si>
    <t>ttfund__HSEKRVK</t>
  </si>
  <si>
    <t>幸福小列车第2期投顾服务</t>
  </si>
  <si>
    <t>ttfund__J1KGJCD</t>
  </si>
  <si>
    <t>幸福小列车目标盈第4期</t>
  </si>
  <si>
    <t>ttfund__NO2RXG4</t>
  </si>
  <si>
    <t>幸福小列车目标盈第7期</t>
  </si>
  <si>
    <t>ttfund__T1RKM0L</t>
  </si>
  <si>
    <t>幸福小列车目标盈第6期</t>
  </si>
  <si>
    <t>ttfund__TWAKZEV</t>
  </si>
  <si>
    <t>幸福小列车目标盈第5期</t>
  </si>
  <si>
    <t>gffunds__GFJJ000002</t>
  </si>
  <si>
    <t>理财小加</t>
  </si>
  <si>
    <t>沪深 300 指数收益率*5%+中债综合全价（总值） 指数收益率*95%</t>
  </si>
  <si>
    <t>ttfund__0E2QPPN</t>
  </si>
  <si>
    <t>银华天玑-债基组合</t>
  </si>
  <si>
    <t>中证全债指数 (H11001.CSI) *100%</t>
  </si>
  <si>
    <t>ttfund__8TWSRVW</t>
  </si>
  <si>
    <t>民生加银固收小福星组合</t>
  </si>
  <si>
    <t>中证偏股型基金指数*5%+中债综合指数*95%</t>
  </si>
  <si>
    <t>ttfund__O6NRL0G</t>
  </si>
  <si>
    <t>永动机债券型</t>
  </si>
  <si>
    <t>中证全债指数*80%+中证800指数收益率*20%</t>
  </si>
  <si>
    <t>ttfund__5ZEBTMB</t>
  </si>
  <si>
    <t>嘉实百灵全天候策略</t>
  </si>
  <si>
    <t>中债新综合财富*85%+中证800*15%</t>
  </si>
  <si>
    <t>ttfund__DMMHRWU</t>
  </si>
  <si>
    <t>农银丰享稳健</t>
  </si>
  <si>
    <t>中债综合全价（总值）指数收益率*80%+中证800指数收益率*20%</t>
  </si>
  <si>
    <t>ttfund__AWEQDJE</t>
  </si>
  <si>
    <t>菜鸟稳飞</t>
  </si>
  <si>
    <t>85%*中证全债指数收益率+15%*中证800指数收益率</t>
  </si>
  <si>
    <t>gffunds__GFJJ001201</t>
  </si>
  <si>
    <t>固收增强组合</t>
  </si>
  <si>
    <t>ttfund__GJP8I6Q</t>
  </si>
  <si>
    <t>小常乐两年期-天天02期</t>
  </si>
  <si>
    <t>ttfund__4RRY2LN</t>
  </si>
  <si>
    <t>万家稳稳小目标05期</t>
  </si>
  <si>
    <t>ttfund__B7TTJ2E</t>
  </si>
  <si>
    <t>国联睿稳健</t>
  </si>
  <si>
    <t>中证800×10%+中证货币基金指数×90%</t>
  </si>
  <si>
    <t>ttfund__GQRPIPX</t>
  </si>
  <si>
    <t>睿稳健-天天尊享</t>
  </si>
  <si>
    <t>业绩比较基准=中证货币基金指数（代码：H11025.CSI）*90%+中证800指数（代码：000906.SH）* 10%</t>
  </si>
  <si>
    <t>ttfund__KA21BWL</t>
  </si>
  <si>
    <t>工银稳健成长（直销）</t>
  </si>
  <si>
    <t>ttfund__5E3OX9P</t>
  </si>
  <si>
    <t>建信小幸运目标盈组合策略20期</t>
  </si>
  <si>
    <t>ttfund__4DUEQSK</t>
  </si>
  <si>
    <t>坚若磐石</t>
  </si>
  <si>
    <t>ttfund__11V916K</t>
  </si>
  <si>
    <t>幸福六六小目标天天11期</t>
  </si>
  <si>
    <t>沪深 300 指数收益率*20%+中证纯债债券型基金指数收益率*80%</t>
  </si>
  <si>
    <t>ttfund__6CJE2QL</t>
  </si>
  <si>
    <t>幸福六六小目标天天13期</t>
  </si>
  <si>
    <t>ttfund__MHOTFWC</t>
  </si>
  <si>
    <t>幸福六六小目标天天14期（新年特别版）</t>
  </si>
  <si>
    <t>ttfund__NA0BVJR</t>
  </si>
  <si>
    <t>幸福六六小目标天天15期</t>
  </si>
  <si>
    <t>ttfund__VOXGR2C</t>
  </si>
  <si>
    <t>幸福六六小目标天天12期</t>
  </si>
  <si>
    <t>ttfund__6D2EKJA</t>
  </si>
  <si>
    <t>嘉实小雀幸目标盈第3期</t>
  </si>
  <si>
    <t>中证偏股型基金指数*20%+中证纯债债券型基金指数*80%</t>
  </si>
  <si>
    <t>ttfund__SBGVYSH</t>
  </si>
  <si>
    <t>嘉实小雀幸目标盈第1期</t>
  </si>
  <si>
    <t>ttfund__OAPJL2B</t>
  </si>
  <si>
    <t>工银固收增强（直销）</t>
  </si>
  <si>
    <t>ttfund__B8X7QR1</t>
  </si>
  <si>
    <t>申万菱信小目标第02期</t>
  </si>
  <si>
    <t>中证全债指数*95%+中证偏股型基金指数*5%</t>
  </si>
  <si>
    <t>ttfund__0K0L6E1</t>
  </si>
  <si>
    <t>幸福六六小目标天天22期</t>
  </si>
  <si>
    <t>ttfund__590UR0R</t>
  </si>
  <si>
    <t>幸福六六小目标天天27期</t>
  </si>
  <si>
    <t>ttfund__8WK4QMY</t>
  </si>
  <si>
    <t>幸福六六小目标天天05期(年中版)</t>
  </si>
  <si>
    <t>ttfund__DDFM2SH</t>
  </si>
  <si>
    <t>幸福六六小目标天天26期</t>
  </si>
  <si>
    <t>ttfund__DKVUTMJ</t>
  </si>
  <si>
    <t>幸福六六小目标天天25期</t>
  </si>
  <si>
    <t>ttfund__FMMWCUF</t>
  </si>
  <si>
    <t>幸福六六小目标天天24期</t>
  </si>
  <si>
    <t>ttfund__IPI9WUP</t>
  </si>
  <si>
    <t>幸福六六小目标天天23期</t>
  </si>
  <si>
    <t>ttfund__IXQHINU</t>
  </si>
  <si>
    <t>幸福六六小目标天天28期</t>
  </si>
  <si>
    <t>ttfund__NI5GIQY</t>
  </si>
  <si>
    <t>幸福六六小目标天天07期</t>
  </si>
  <si>
    <t>ttfund__OH5MRRV</t>
  </si>
  <si>
    <t>幸福六六小目标天天06期</t>
  </si>
  <si>
    <t>ttfund__SGJLJMT</t>
  </si>
  <si>
    <t>幸福六六小目标天天21期</t>
  </si>
  <si>
    <t>ttfund__VSG0IKB</t>
  </si>
  <si>
    <t>幸福六六小目标天天30期</t>
  </si>
  <si>
    <t>ttfund__WDIPIUW</t>
  </si>
  <si>
    <t>幸福六六小目标天天20期</t>
  </si>
  <si>
    <t>ttfund__ZJILB7A</t>
  </si>
  <si>
    <t>幸福六六小目标天天16期</t>
  </si>
  <si>
    <t>ttfund__SCYDSBL</t>
  </si>
  <si>
    <t>嘉实小雀幸目标盈第2期</t>
  </si>
  <si>
    <t>ttfund__AH7OVZH</t>
  </si>
  <si>
    <t>富国90天低波目标盈09期</t>
  </si>
  <si>
    <t>90%中债综合全价指数收益率+10%中证偏股基金指数收益率</t>
  </si>
  <si>
    <t>ttfund__COWJBFP</t>
  </si>
  <si>
    <t>富国90天低波目标盈01期</t>
  </si>
  <si>
    <t>中证全债指数收益率*90%+中证偏股基金指数收益率*10%</t>
  </si>
  <si>
    <t>ttfund__LEWVOEU</t>
  </si>
  <si>
    <t>富国90天低波目标盈03期</t>
  </si>
  <si>
    <t>ttfund__MHQ2PVU</t>
  </si>
  <si>
    <t>富国90天低波目标盈02期</t>
  </si>
  <si>
    <t>gffunds__GFJJ001564</t>
  </si>
  <si>
    <t>广发尊享稳健甄选</t>
  </si>
  <si>
    <t>ttfund__USHPX9K</t>
  </si>
  <si>
    <t>久聪债券</t>
  </si>
  <si>
    <t>ttfund__CLGKL5H</t>
  </si>
  <si>
    <t>建信小幸运目标盈组合策略19期</t>
  </si>
  <si>
    <t>ttfund__IVKPAEH</t>
  </si>
  <si>
    <t>低波小如意第1期</t>
  </si>
  <si>
    <t>中债国债总财富（1-3 年）指数×90%+中证800指数×5%+中证货币基金指数*5%</t>
  </si>
  <si>
    <t>ttfund__1DWSBSB</t>
  </si>
  <si>
    <t>九维狐固收</t>
  </si>
  <si>
    <t>90%*中证全债指数收益率+5%*中证800指数收益率+5%*货币基金指数收益率</t>
  </si>
  <si>
    <t>ttfund__TDL0HHI</t>
  </si>
  <si>
    <t>招商慢慢投</t>
  </si>
  <si>
    <t>中证纯债债券型基金指数*90%+中证偏股型基金指数*10%</t>
  </si>
  <si>
    <t>ttfund__XKYLAB3</t>
  </si>
  <si>
    <t>银华天玑-稳稳金牛座</t>
  </si>
  <si>
    <t>业绩比较基准=沪深300*5%+中证国债指数*95%</t>
  </si>
  <si>
    <t>ttfund__ABGPHLV</t>
  </si>
  <si>
    <t>稳健指数宝</t>
  </si>
  <si>
    <t>中证 800 指数收益率*10%+中债综合全价（总值）指数收益率 *90%</t>
  </si>
  <si>
    <t>ttfund__0U91IVW</t>
  </si>
  <si>
    <t>智航易投1号</t>
  </si>
  <si>
    <t>中证普通债券型基金指数*80%+中证偏股型基金指数*20%</t>
  </si>
  <si>
    <t>ttfund__UPBLV8P</t>
  </si>
  <si>
    <t>老有所依</t>
  </si>
  <si>
    <t>80%中债总全价指数收益率 +10%中证800指数收益率 +10%中证商品CIFI指数收益率</t>
  </si>
  <si>
    <t>ttfund__ZWGG0VJ</t>
  </si>
  <si>
    <t>工银价值稳健（直销）</t>
  </si>
  <si>
    <t>上证国债指数×90%+中证800指数×5%+中证货币基金指数×5%</t>
  </si>
  <si>
    <t>ttfund__95K2U6C</t>
  </si>
  <si>
    <t>招商小心愿Pro目标盈第03期</t>
  </si>
  <si>
    <t>中证纯债债券型基金指数收益率*85%+中证偏股型基金指数收益率*15%</t>
  </si>
  <si>
    <t>ttfund__E512ZCE</t>
  </si>
  <si>
    <t>招商小心愿Pro目标盈02期</t>
  </si>
  <si>
    <t>ttfund__JEX5MKK</t>
  </si>
  <si>
    <t>招商小心愿Pro目标盈01期</t>
  </si>
  <si>
    <t>ttfund__MEBJOSZ</t>
  </si>
  <si>
    <t>招商固收+星秀</t>
  </si>
  <si>
    <t>中证偏股型基金指数*15%+中证纯债债券型基金指数*85%</t>
  </si>
  <si>
    <t>ttfund__UVOF010</t>
  </si>
  <si>
    <t>盈添平衡</t>
  </si>
  <si>
    <t>"中证 800 指数收益率*50%+中债综合全价 指数收益率*50%"</t>
  </si>
  <si>
    <t>ttfund__X1NC3BW</t>
  </si>
  <si>
    <t>连天芳草</t>
  </si>
  <si>
    <t>业绩比较基准=中证800*20%+中证全债*80%</t>
  </si>
  <si>
    <t>ttfund__BSJBYFE</t>
  </si>
  <si>
    <t>小常乐目标盈天天38期</t>
  </si>
  <si>
    <t>ttfund__SSX0DTW</t>
  </si>
  <si>
    <t>建信小幸运目标盈9期</t>
  </si>
  <si>
    <t>ttfund__VKFXETE</t>
  </si>
  <si>
    <t>招商季季乐</t>
  </si>
  <si>
    <t>92%中债-综合全价(总值)指数收益率+8%沪深300指数收益率</t>
  </si>
  <si>
    <t>gffunds__GFJJ001569</t>
  </si>
  <si>
    <t>广发尊享稳健甄选（机构版）</t>
  </si>
  <si>
    <t>ttfund__6DATGTT</t>
  </si>
  <si>
    <t>沪深300*5%+中证国债指数*95%</t>
  </si>
  <si>
    <t>ttfund__MBHEVM3</t>
  </si>
  <si>
    <t>建信小幸运目标盈第4期投顾服务</t>
  </si>
  <si>
    <t>ttfund__1B5IDS2</t>
  </si>
  <si>
    <t>智盈天天第11期投顾服务</t>
  </si>
  <si>
    <t>ttfund__5GGOSCB</t>
  </si>
  <si>
    <t>司南安鑫一号(第20期)</t>
  </si>
  <si>
    <t>沪深300全收益指数×15%+中证企业债指数×85%</t>
  </si>
  <si>
    <t>ttfund__D6O6MQ0</t>
  </si>
  <si>
    <t>智盈天天第10期投顾服务</t>
  </si>
  <si>
    <t>ttfund__GCXRNSG</t>
  </si>
  <si>
    <t>智盈天天第8期投顾服务</t>
  </si>
  <si>
    <t>ttfund__I0BULZF</t>
  </si>
  <si>
    <t>智盈天天第9期(年中版)</t>
  </si>
  <si>
    <t>ttfund__QFNPUR0</t>
  </si>
  <si>
    <t>智盈天天第7期投顾服务</t>
  </si>
  <si>
    <t>ttfund__5TBCFT7</t>
  </si>
  <si>
    <t>清流优选债基</t>
  </si>
  <si>
    <t>中债-总全价(总值)指数*95%
+中证货币基金指数*5%</t>
  </si>
  <si>
    <t>ttfund__CIPYE30</t>
  </si>
  <si>
    <t>小常乐目标盈天天43期</t>
  </si>
  <si>
    <t>85%*中证全债+10%*中证800+5%货币基金</t>
  </si>
  <si>
    <t>ttfund__1EKDU0J</t>
  </si>
  <si>
    <t>小常乐目标盈天天44期</t>
  </si>
  <si>
    <t>gffunds__GFJJ000900</t>
  </si>
  <si>
    <t>幸福小列车目标盈</t>
  </si>
  <si>
    <t>沪深 300 指数收益率*10%+中债综合全价（总值）指数收益率*90%</t>
  </si>
  <si>
    <t>ttfund__ZDRK77O</t>
  </si>
  <si>
    <t>小常乐目标盈天天41期</t>
  </si>
  <si>
    <t>ttfund__ZYRBY1C</t>
  </si>
  <si>
    <t>梧桐季季红稳健收益组合</t>
  </si>
  <si>
    <t>沪深300指数*5%+上证国债指数*90%+货币基金指数*5%</t>
  </si>
  <si>
    <t>ttfund__A42Q2XZ</t>
  </si>
  <si>
    <t>东财固收小确幸</t>
  </si>
  <si>
    <t>中债综合全价指数（CBA00203）*100%</t>
  </si>
  <si>
    <t>ttfund__AI4BMSO</t>
  </si>
  <si>
    <t>司南小目标组合</t>
  </si>
  <si>
    <t>95%中证企业债指数+5%沪深全收益300指数</t>
  </si>
  <si>
    <t>ttfund__0X0TZDS</t>
  </si>
  <si>
    <t>幸福六六小目标天天29期</t>
  </si>
  <si>
    <t>ttfund__PDFPZ7H</t>
  </si>
  <si>
    <t>申万菱信智慧目标投第18期</t>
  </si>
  <si>
    <t>92%*中债综合全价（总值）指数+8%*中证偏股型基金指数</t>
  </si>
  <si>
    <t>ttfund__IUITT0B</t>
  </si>
  <si>
    <t>南方纯债优选</t>
  </si>
  <si>
    <t>100%×中债综合指数</t>
  </si>
  <si>
    <t>ttfund__XCS0IJK</t>
  </si>
  <si>
    <t>华宝五花肉</t>
  </si>
  <si>
    <t>80%*中证全债指数指数收益率+20%*中证800指数收益率</t>
  </si>
  <si>
    <t>gffunds__GFJJ000598</t>
  </si>
  <si>
    <t>智慧教育金2025</t>
  </si>
  <si>
    <t>沪深 300 指数收益率*X+中债综合全价指数收益率*（1-X），其 中 X 取值见下表： 年份 X 2022 22.5% 2023 20.0% 2024 17.5% 2025 及以后 15.0%</t>
  </si>
  <si>
    <t>ttfund__WM4GXHO</t>
  </si>
  <si>
    <t>华夏稳盈纯债组合</t>
  </si>
  <si>
    <t>95% *中债-综合全价(总值)指数+5%*货币基金</t>
  </si>
  <si>
    <t>ttfund__FWABXOS</t>
  </si>
  <si>
    <t>小常乐目标盈天天40期</t>
  </si>
  <si>
    <t>ttfund__TKRSWJI</t>
  </si>
  <si>
    <t>申万菱信智慧目标投第17期</t>
  </si>
  <si>
    <t>ttfund__SIZR3KH</t>
  </si>
  <si>
    <t>易方达固收精选</t>
  </si>
  <si>
    <t>中证债券型基金指数*100%</t>
  </si>
  <si>
    <t>ttfund__ZK9BHBU</t>
  </si>
  <si>
    <t>滚雪时代</t>
  </si>
  <si>
    <t>80%*中债总全价指数收益率+20%*中证800指数收益率</t>
  </si>
  <si>
    <t>ttfund__V7RODJC</t>
  </si>
  <si>
    <t>小常乐目标盈天天45期</t>
  </si>
  <si>
    <t>ttfund__I4PTEF1</t>
  </si>
  <si>
    <t>易方达纯债精选</t>
  </si>
  <si>
    <t>中证纯债债券型基金指数*100%</t>
  </si>
  <si>
    <t>gffunds__GFJJ001563</t>
  </si>
  <si>
    <t>广发债基精选</t>
  </si>
  <si>
    <t>中债-综合全价（总值）指数收益率</t>
  </si>
  <si>
    <t>ttfund__VEDEATO</t>
  </si>
  <si>
    <t>小常乐目标盈天天39期</t>
  </si>
  <si>
    <t>ttfund__240JP2J</t>
  </si>
  <si>
    <t>招商小心愿目标盈01期</t>
  </si>
  <si>
    <t>中证纯债债券型基金指数收益率*80%+中证偏股型基金指数收益率*20%</t>
  </si>
  <si>
    <t>ttfund__HC3RT7F</t>
  </si>
  <si>
    <t>招商小心愿目标盈第06期</t>
  </si>
  <si>
    <t>ttfund__KU0NLEI</t>
  </si>
  <si>
    <t>招商小心愿目标盈05期</t>
  </si>
  <si>
    <t>ttfund__WA0AMZF</t>
  </si>
  <si>
    <t>招商小心愿目标盈03期</t>
  </si>
  <si>
    <t>ttfund__ZYHUF6L</t>
  </si>
  <si>
    <t>招商小心愿目标盈02期（新年版）</t>
  </si>
  <si>
    <t>ttfund__MIS0DIZ</t>
  </si>
  <si>
    <t>稳健甄选</t>
  </si>
  <si>
    <t>业绩比较基准=沪深300*20%+中证全债*80%</t>
  </si>
  <si>
    <t>ttfund__ZXW7W2Q</t>
  </si>
  <si>
    <t>华泰柏瑞债券基金</t>
  </si>
  <si>
    <t>95%*中证综合债指数+5%*货币基金指数</t>
  </si>
  <si>
    <t>ttfund__LW1DLUY</t>
  </si>
  <si>
    <t>我要稳稳的幸福</t>
  </si>
  <si>
    <t>中证偏股混合基金指数*10%+中债综合全价指数*90%</t>
  </si>
  <si>
    <t>ttfund__LGFRIEL</t>
  </si>
  <si>
    <t>交银债基债利</t>
  </si>
  <si>
    <t>80%中证纯债债券型基金指数+20%中证货币基金指数</t>
  </si>
  <si>
    <t>ttfund__ZXFOWWD</t>
  </si>
  <si>
    <t>交银债基债利（直销）</t>
  </si>
  <si>
    <t>ttfund__K63ZUNF</t>
  </si>
  <si>
    <t>招商债基Plus-配置</t>
  </si>
  <si>
    <t>中证偏股型基金指数*10% + 中债-综合指数*90%</t>
  </si>
  <si>
    <t>ttfund__FSGWDMV</t>
  </si>
  <si>
    <t>招商月月佳薪</t>
  </si>
  <si>
    <t>沪深300指数收益率*3%+中债综合全价指数收益率*97%</t>
  </si>
  <si>
    <t>ttfund__IZEXKHE</t>
  </si>
  <si>
    <t>小常乐目标盈天天33期</t>
  </si>
  <si>
    <t>ttfund__O4UBEHP</t>
  </si>
  <si>
    <t>南方小目标第2期投顾服务</t>
  </si>
  <si>
    <t>ttfund__S2NLY6R</t>
  </si>
  <si>
    <t>招商暖心投</t>
  </si>
  <si>
    <t>中证纯债债券型基金指数*80%+中证偏股型基金指数*20%</t>
  </si>
  <si>
    <t>ttfund__SLA6UOA</t>
  </si>
  <si>
    <t>南方小目标第1期投顾服务</t>
  </si>
  <si>
    <t>ttfund__STXIR4L</t>
  </si>
  <si>
    <t>招商小心愿目标盈04期</t>
  </si>
  <si>
    <t>ttfund__C6RVVH1</t>
  </si>
  <si>
    <t>金城石室</t>
  </si>
  <si>
    <t>95%*中证全债指数收益率+5%*中证800指数收益率</t>
  </si>
  <si>
    <t>ttfund__SP2JROD</t>
  </si>
  <si>
    <t>萌萌的安心债</t>
  </si>
  <si>
    <t>业绩比较基准=中证全债*100%</t>
  </si>
  <si>
    <t>ttfund__KLJMUB0</t>
  </si>
  <si>
    <t>添富纯债精选</t>
  </si>
  <si>
    <t>中债-综合全价(总值)指数*95%+中证货币基金指数*5%</t>
  </si>
  <si>
    <t>ttfund__4VJ0KMA</t>
  </si>
  <si>
    <t>青石</t>
  </si>
  <si>
    <t>业绩比较基准=中证全债*80%+中证800*20%</t>
  </si>
  <si>
    <t>ttfund__SGBYAMO</t>
  </si>
  <si>
    <t>小常乐两年期-天天01期</t>
  </si>
  <si>
    <t>ttfund__GVBCWKX</t>
  </si>
  <si>
    <t>建信小幸运目标盈组合策略18期</t>
  </si>
  <si>
    <t>ttfund__HLSOD2X</t>
  </si>
  <si>
    <t>建信小幸运目标盈8期</t>
  </si>
  <si>
    <t>ttfund__STZJQHJ</t>
  </si>
  <si>
    <t>建信小幸运目标盈第1期投顾服务</t>
  </si>
  <si>
    <t>ttfund__1H5EQ9L</t>
  </si>
  <si>
    <t>民生加银智投小赢家04期</t>
  </si>
  <si>
    <t>15%*中证偏股型基金指数+85%*中债综合指数</t>
  </si>
  <si>
    <t>ttfund__KMFKZGK</t>
  </si>
  <si>
    <t>中欧固收佳</t>
  </si>
  <si>
    <t>中证纯债债券型基金指数×90%+沪深300指数×10%</t>
  </si>
  <si>
    <t>ttfund__PY181LI</t>
  </si>
  <si>
    <t>中欧理财+2号</t>
  </si>
  <si>
    <t>中证综合债指数×90%+沪深300指数×10%</t>
  </si>
  <si>
    <t>ttfund__Z7BIKTB</t>
  </si>
  <si>
    <t>建信小幸运目标盈第2期投顾服务</t>
  </si>
  <si>
    <t>gffunds__GFJJ001507</t>
  </si>
  <si>
    <t>幸福小心愿目标盈</t>
  </si>
  <si>
    <t>沪深 300 指数收益率*8%+中债综合全价（总值）指数收益率*92%</t>
  </si>
  <si>
    <t>ttfund__8N01SYM</t>
  </si>
  <si>
    <t>建信小幸运目标盈组合策略14期</t>
  </si>
  <si>
    <t>ttfund__FDBXIZW</t>
  </si>
  <si>
    <t>建信小幸运目标盈组合策略15期</t>
  </si>
  <si>
    <t>ttfund__KNXMY00</t>
  </si>
  <si>
    <t>债基优等生</t>
  </si>
  <si>
    <t>中证纯债债券型基金指数收益率×98%+中证货币基金指数收益率×2%</t>
  </si>
  <si>
    <t>gffunds__GFJJ001581</t>
  </si>
  <si>
    <t>广发债券宝</t>
  </si>
  <si>
    <t>ttfund__BPLKTVE</t>
  </si>
  <si>
    <t>中欧步步红</t>
  </si>
  <si>
    <t>93%中证纯债债券型基金指数+7%沪深300指数</t>
  </si>
  <si>
    <t>ttfund__LA2QCJX</t>
  </si>
  <si>
    <t>小常乐目标盈天天37期</t>
  </si>
  <si>
    <t>ttfund__PEYCXNH</t>
  </si>
  <si>
    <t>司南双月宝组合</t>
  </si>
  <si>
    <t>中证短债指数×80%+上证国债指数×20%</t>
  </si>
  <si>
    <t>ttfund__WYJ14NT</t>
  </si>
  <si>
    <t>小常乐目标盈天天35期</t>
  </si>
  <si>
    <t>ttfund__9EWXWM1</t>
  </si>
  <si>
    <t>小常乐目标盈天天42期</t>
  </si>
  <si>
    <t>ttfund__CD2POH0</t>
  </si>
  <si>
    <t>小常乐目标盈天天36期</t>
  </si>
  <si>
    <t>ttfund__NLEZCJG</t>
  </si>
  <si>
    <t>嘉实小福气组合</t>
  </si>
  <si>
    <t>沪深300指数×10%+中证全债指数×90%</t>
  </si>
  <si>
    <t>ttfund__BSZLOCV</t>
  </si>
  <si>
    <t>申万菱信智慧目标投第10期</t>
  </si>
  <si>
    <t>ttfund__O4WMRPQ</t>
  </si>
  <si>
    <t>申万菱信智慧目标投第15期</t>
  </si>
  <si>
    <t>gffunds__GFJJ000578</t>
  </si>
  <si>
    <t>亲子理财加</t>
  </si>
  <si>
    <t>7%*沪深 300 指数收益率+93%*中债综合全价（总值）指数收益 率；</t>
  </si>
  <si>
    <t>ttfund__5UJJ9SH</t>
  </si>
  <si>
    <t>申万菱信幸福理财+</t>
  </si>
  <si>
    <t>中证800*15%+上证国债*85%</t>
  </si>
  <si>
    <t>ttfund__VJZN8E6</t>
  </si>
  <si>
    <t>申万菱信智慧目标投第3期</t>
  </si>
  <si>
    <t>中证全债指数*90%+中证偏股型基金指数*10%</t>
  </si>
  <si>
    <t>ttfund__O7VLYBL</t>
  </si>
  <si>
    <t>申万菱信智慧目标投第4期</t>
  </si>
  <si>
    <t>ttfund__0DGC7CW</t>
  </si>
  <si>
    <t>小常乐目标盈天天34期</t>
  </si>
  <si>
    <t>ttfund__CL3SMDU</t>
  </si>
  <si>
    <t>小常乐目标盈天天25期</t>
  </si>
  <si>
    <t>ttfund__KA8QXFG</t>
  </si>
  <si>
    <t>申万菱信智慧目标投第5期</t>
  </si>
  <si>
    <t>ttfund__TZDDNP2</t>
  </si>
  <si>
    <t>富国稳债星稳健理财</t>
  </si>
  <si>
    <t>中债综合全价指数收益率*80%+中证货币基金指数收益率*20%</t>
  </si>
  <si>
    <t>ttfund__JJYDADT</t>
  </si>
  <si>
    <t>嘉实财富固收优选</t>
  </si>
  <si>
    <t>上证国债指数×90%+中证转债及可交换债指数×10%</t>
  </si>
  <si>
    <t>gffunds__GFJJ000011</t>
  </si>
  <si>
    <t>添利30天</t>
  </si>
  <si>
    <t>中证货币型基金指数收益率</t>
  </si>
  <si>
    <t>gffunds__GFJJ001508</t>
  </si>
  <si>
    <t>添利30天（机构版）</t>
  </si>
  <si>
    <t>ttfund__LN7UJ9G</t>
  </si>
  <si>
    <t>幸福低波小目标13期</t>
  </si>
  <si>
    <t>中证纯债债券型基金指数（930609.CSI） 收益率× 93%+沪深_x000D_
300 指数（000300.SH） 收益率× 7%</t>
  </si>
  <si>
    <t>ttfund__YHHNLWT</t>
  </si>
  <si>
    <t>100%中证货币型基金指数</t>
  </si>
  <si>
    <t>ttfund__MX7IF1T</t>
  </si>
  <si>
    <t>申万菱信智慧目标投第16期</t>
  </si>
  <si>
    <t>ttfund__JHBDANU</t>
  </si>
  <si>
    <t>幸福低波小目标12期</t>
  </si>
  <si>
    <t>ttfund__TKZIV0K</t>
  </si>
  <si>
    <t>幸福低波小目标06期</t>
  </si>
  <si>
    <t>中证纯债债券型基金指数收益率*93%+沪深300 指数收益率*7%</t>
  </si>
  <si>
    <t>ttfund__OZMMLUQ</t>
  </si>
  <si>
    <t>玄奘安鑫</t>
  </si>
  <si>
    <t>90%*中证全债指数+10%*货币基金指数</t>
  </si>
  <si>
    <t>ttfund__QGRMZD0</t>
  </si>
  <si>
    <t>万家稳盈小目标</t>
  </si>
  <si>
    <t>3%*中证800指数收益率+97%*中债综合全价(总值)指数收益率</t>
  </si>
  <si>
    <t>ttfund__WMLXABY</t>
  </si>
  <si>
    <t>建信小幸运目标盈组合策略11期</t>
  </si>
  <si>
    <t>ttfund__RTK1UVS</t>
  </si>
  <si>
    <t>富国稳稳星稳健理财</t>
  </si>
  <si>
    <t>中债综合全价指数收益率*95%+中证偏股混合基金指数*5%</t>
  </si>
  <si>
    <t>huaxia_tougu__SF1036</t>
  </si>
  <si>
    <t>工资宝绝对收益组合</t>
  </si>
  <si>
    <t>ttfund__1JI0GQO</t>
  </si>
  <si>
    <t>表韭纯纯的债</t>
  </si>
  <si>
    <t>【90%】*【中证货币基金指数（H11025.CSI）】+【10%】*【中债-新综合全价(1-3年)指数（CBA00123.CSI）】</t>
  </si>
  <si>
    <t>ttfund__Y7910ZA</t>
  </si>
  <si>
    <t>中证全债×85%+中证800×10%+中证货币基金指数×5%</t>
  </si>
  <si>
    <t>ttfund__CP6DNTL</t>
  </si>
  <si>
    <t>交银理财加（直销）</t>
  </si>
  <si>
    <t>80%×中证短债指数+20%×中证货币基金指数</t>
  </si>
  <si>
    <t>ttfund__OEEES49</t>
  </si>
  <si>
    <t>交银理财加</t>
  </si>
  <si>
    <t>80%中证短债指数+20%中证货币基金指数</t>
  </si>
  <si>
    <t>ttfund__NCKJVHR</t>
  </si>
  <si>
    <t>博时乐享90天</t>
  </si>
  <si>
    <t>95%中证纯债债券型基金指数+5%中证偏股型基金指数</t>
  </si>
  <si>
    <t>ttfund__PMQMSUE</t>
  </si>
  <si>
    <t>建信小幸运目标盈组合策略16期</t>
  </si>
  <si>
    <t>ttfund__XITZCHM</t>
  </si>
  <si>
    <t>中欧闲钱宝</t>
  </si>
  <si>
    <t>中证纯债基金指数×95%+沪深300指数×5%</t>
  </si>
  <si>
    <t>ttfund__JE9JQM5</t>
  </si>
  <si>
    <t>砺远稳益</t>
  </si>
  <si>
    <t>沪深300指数（000300）收益率×15%+中债新综合全价（总值）指数（CBA00103）收益率×85%</t>
  </si>
  <si>
    <t>ttfund__HXXWZV5</t>
  </si>
  <si>
    <t>幸福低波小目标07期</t>
  </si>
  <si>
    <t>ttfund__SEUCJKC</t>
  </si>
  <si>
    <t>幸福低波小目标11期</t>
  </si>
  <si>
    <t>gffunds__GFJJ000003</t>
  </si>
  <si>
    <t>超级理财加</t>
  </si>
  <si>
    <t>ttfund__EC1JK09</t>
  </si>
  <si>
    <t>华宝证券东财稳利1号</t>
  </si>
  <si>
    <t>中证货币基金指数*60%+中债-新综合全价(1年以下)指数*40%</t>
  </si>
  <si>
    <t>ttfund__1MRB2HI</t>
  </si>
  <si>
    <t>民生加银闲钱嘉薪组合</t>
  </si>
  <si>
    <t>50%中证货币基金指数+50%中证短债指数</t>
  </si>
  <si>
    <t>ttfund__XVKGJJO</t>
  </si>
  <si>
    <t>纯债汉堡</t>
  </si>
  <si>
    <t>中证货币基金指数*100%</t>
  </si>
  <si>
    <t>gffunds__GFJJ001325</t>
  </si>
  <si>
    <t>广发短债甄选</t>
  </si>
  <si>
    <t>ttfund__NBKRTDY</t>
  </si>
  <si>
    <t>嘉实财富固收Plus</t>
  </si>
  <si>
    <t>上证国债指数×90%+中证800指数×10%</t>
  </si>
  <si>
    <t>ttfund__S90DUKJ</t>
  </si>
  <si>
    <t>幸福低波小目标14期</t>
  </si>
  <si>
    <t>ttfund__UCNBOKN</t>
  </si>
  <si>
    <t>小常乐目标盈天天32期</t>
  </si>
  <si>
    <t>ttfund__FT9Q97V</t>
  </si>
  <si>
    <t>华安零钱快乐攒</t>
  </si>
  <si>
    <t>中证800纯收益*10%+中债综合指数*90%</t>
  </si>
  <si>
    <t>ttfund__D1E0BV9</t>
  </si>
  <si>
    <t>鹏华优选宝60天</t>
  </si>
  <si>
    <t>中债-综合财富(总值)指数收益率*95%+中证800指数收益率*5%</t>
  </si>
  <si>
    <t>ttfund__UTT25QJ</t>
  </si>
  <si>
    <t>小常乐目标盈天天31期</t>
  </si>
  <si>
    <t>ttfund__MKLK0LK</t>
  </si>
  <si>
    <t>华夏稳健纯债组合</t>
  </si>
  <si>
    <t>中证短债*95%+货币基金*5%</t>
  </si>
  <si>
    <t>ttfund__BPXOFBN</t>
  </si>
  <si>
    <t>建信小幸运目标盈组合策略17期</t>
  </si>
  <si>
    <t>ttfund__J0UEQVS</t>
  </si>
  <si>
    <t>银华天玑-小星愿目标盈第17期</t>
  </si>
  <si>
    <t>ttfund__DK77U1A</t>
  </si>
  <si>
    <t>工银货债通（直销）</t>
  </si>
  <si>
    <t>中证货币基金指数×100%</t>
  </si>
  <si>
    <t>ttfund__40NN5EN</t>
  </si>
  <si>
    <t>小常乐目标盈天天30期</t>
  </si>
  <si>
    <t>ttfund__JIF9BOG</t>
  </si>
  <si>
    <t>富国活钱星活钱理财</t>
  </si>
  <si>
    <t>中证货币基金指数收益率*100%</t>
  </si>
  <si>
    <t>ttfund__C6O0LNF</t>
  </si>
  <si>
    <t>磐石安蓉</t>
  </si>
  <si>
    <t>ttfund__OQ1R4QV</t>
  </si>
  <si>
    <t>易方达货币增强</t>
  </si>
  <si>
    <t>中证货币基金指数×90%+中证普通债券型基金指数×10%</t>
  </si>
  <si>
    <t>ttfund__3N4GLHA</t>
  </si>
  <si>
    <t>银华天玑-太太宝</t>
  </si>
  <si>
    <t>中证全债指数 (H11001.CSI) *50%+中证货币市场基金指数（H11025.CSI）*50%</t>
  </si>
  <si>
    <t>ttfund__MIKZFCY</t>
  </si>
  <si>
    <t>心安守护</t>
  </si>
  <si>
    <t>中证货币基金指数 *100%</t>
  </si>
  <si>
    <t>ttfund__0RCQNRF</t>
  </si>
  <si>
    <t>南方小目标第21期投顾服务</t>
  </si>
  <si>
    <t>ttfund__4LSJNB8</t>
  </si>
  <si>
    <t>南方小目标第14期投顾服务</t>
  </si>
  <si>
    <t>ttfund__5DXLCWM</t>
  </si>
  <si>
    <t>南方小目标第18期投顾服务</t>
  </si>
  <si>
    <t>ttfund__5ILZWB1</t>
  </si>
  <si>
    <t>南方小目标第20期投顾服务</t>
  </si>
  <si>
    <t>ttfund__7QQWTF2</t>
  </si>
  <si>
    <t>南方小目标第13期投顾服务</t>
  </si>
  <si>
    <t>ttfund__8WED0SG</t>
  </si>
  <si>
    <t>南方小目标第22期投顾服务</t>
  </si>
  <si>
    <t>ttfund__I7WLHWY</t>
  </si>
  <si>
    <t>南方小目标第15期投顾服务</t>
  </si>
  <si>
    <t>ttfund__ORE55WD</t>
  </si>
  <si>
    <t>南方小目标第17期投顾服务</t>
  </si>
  <si>
    <t>ttfund__R0GQK5D</t>
  </si>
  <si>
    <t>南方小目标第24期投顾服务</t>
  </si>
  <si>
    <t>ttfund__SM6UTSQ</t>
  </si>
  <si>
    <t>南方小目标第16期投顾服务</t>
  </si>
  <si>
    <t>ttfund__SUDEXFN</t>
  </si>
  <si>
    <t>工银瑞信价值稳健</t>
  </si>
  <si>
    <t>ttfund__TJ1L8IL</t>
  </si>
  <si>
    <t>南方小目标第23期投顾服务</t>
  </si>
  <si>
    <t>ttfund__TOKBCFW</t>
  </si>
  <si>
    <t>南方小目标第25期投顾服务</t>
  </si>
  <si>
    <t>ttfund__YN05HXM</t>
  </si>
  <si>
    <t>南方小目标第19期投顾服务</t>
  </si>
  <si>
    <t>ttfund__WSQJEDL</t>
  </si>
  <si>
    <t>小常乐目标盈天天26期</t>
  </si>
  <si>
    <t>ttfund__A0PA9ZT</t>
  </si>
  <si>
    <t>省心投活钱加</t>
  </si>
  <si>
    <t>100%货币基金</t>
  </si>
  <si>
    <t>ttfund__PIJRCEF</t>
  </si>
  <si>
    <t>尊享添盈小目标第16期</t>
  </si>
  <si>
    <t>gffunds__GFJJ001509</t>
  </si>
  <si>
    <t>货币加（机构版）</t>
  </si>
  <si>
    <t>ttfund__ATSAB4C</t>
  </si>
  <si>
    <t>小常乐目标盈天天27期</t>
  </si>
  <si>
    <t>gffunds__GFJJ000001</t>
  </si>
  <si>
    <t>广发货币加</t>
  </si>
  <si>
    <t>ttfund__CAPSWWP</t>
  </si>
  <si>
    <t>ttfund__0FL9P5D</t>
  </si>
  <si>
    <t>嘉合汇稳盈增利</t>
  </si>
  <si>
    <t>中证短债指数收益率*95% +货币基金指数收益率*5%</t>
  </si>
  <si>
    <t>ttfund__IBP9DAS</t>
  </si>
  <si>
    <t>司南月利宝组合</t>
  </si>
  <si>
    <t>货币基金指数×60%+中证短债指数×40%</t>
  </si>
  <si>
    <t>ttfund__S0NP7OG</t>
  </si>
  <si>
    <t>中欧稳钱宝</t>
  </si>
  <si>
    <t>中证货币基金指数（H11025.CSI）*50%+中证短债指数（H11015.CSI）*50%</t>
  </si>
  <si>
    <t>ttfund__2JKZXLW</t>
  </si>
  <si>
    <t>100%×中证货币基金指数</t>
  </si>
  <si>
    <t>ttfund__H5RDKAK</t>
  </si>
  <si>
    <t>博乐小目标第1期</t>
  </si>
  <si>
    <t>ttfund__T1BCRYR</t>
  </si>
  <si>
    <t>银华天玑-货基+组合</t>
  </si>
  <si>
    <t>ttfund__TKRHZ6I</t>
  </si>
  <si>
    <t>小常乐目标盈天天46期</t>
  </si>
  <si>
    <t>ttfund__SRDLIPK</t>
  </si>
  <si>
    <t>万家天天鑫钱包</t>
  </si>
  <si>
    <t>中证货币基金指数收益率*50%+中证短债指数收益率*50%</t>
  </si>
  <si>
    <t>ttfund__SXVM6YO</t>
  </si>
  <si>
    <t>国信季季宝</t>
  </si>
  <si>
    <t>50#中债新综合财富（一年以下）指数+50#活期存款（税后）</t>
  </si>
  <si>
    <t>ttfund__ZBWOVPR</t>
  </si>
  <si>
    <t>国富安盈低波小目标组合</t>
  </si>
  <si>
    <t>8%中证偏股型基金指数+87%中证债券型基金指数+5%中证货币市场基金</t>
  </si>
  <si>
    <t>ttfund__CCMSPMC</t>
  </si>
  <si>
    <t>国泰活钱+</t>
  </si>
  <si>
    <t>20%中证短债+80%货币基金指数</t>
  </si>
  <si>
    <t>ttfund__JK6CJW1</t>
  </si>
  <si>
    <t>富国90天低波目标盈07期</t>
  </si>
  <si>
    <t>ttfund__KQ8QUZL</t>
  </si>
  <si>
    <t>中欧现金增强（超级版）</t>
  </si>
  <si>
    <t>中证货币基金指数（H11025.CSI）收益率×100%</t>
  </si>
  <si>
    <t>ttfund__NILTZXN</t>
  </si>
  <si>
    <t>工银货债通（超级版）</t>
  </si>
  <si>
    <t>业绩比较基准=中证货币基金指数×100%</t>
  </si>
  <si>
    <t>ttfund__TPAMIVP</t>
  </si>
  <si>
    <t>富国90天低波目标盈04期</t>
  </si>
  <si>
    <t>ttfund__DNECX1N</t>
  </si>
  <si>
    <t>富国90天低波目标盈06期</t>
  </si>
  <si>
    <t>ttfund__MFXLHTG</t>
  </si>
  <si>
    <t>尊享添盈小目标第12期</t>
  </si>
  <si>
    <t>ttfund__WWUBK0N</t>
  </si>
  <si>
    <t>中欧现金增强</t>
  </si>
  <si>
    <t>ttfund__2M7L1LX</t>
  </si>
  <si>
    <t>尊享添盈小目标第2期</t>
  </si>
  <si>
    <t>沪深 300 指数收益率*7%+中证纯债债券型基金指数收益率*93%</t>
  </si>
  <si>
    <t>ttfund__AJ7271N</t>
  </si>
  <si>
    <t>财安心</t>
  </si>
  <si>
    <t>ttfund__KBC04FC</t>
  </si>
  <si>
    <t>富国90天低波目标盈08期</t>
  </si>
  <si>
    <t>ttfund__MJCTQT1</t>
  </si>
  <si>
    <t>尊享添盈小目标第19期</t>
  </si>
  <si>
    <t>zocaifu__8100000795</t>
  </si>
  <si>
    <t>超级短债宝</t>
  </si>
  <si>
    <t>ttfund__7EHVOEI</t>
  </si>
  <si>
    <t>富国稳健红利目标盈</t>
  </si>
  <si>
    <t>5%中证红利低波收益率+95%中债综合全价指数</t>
  </si>
  <si>
    <t>ttfund__PMOLYQ1</t>
  </si>
  <si>
    <t>中欧稳健悦享</t>
  </si>
  <si>
    <t>沪深300*20%+中证纯债债券型基金指数*80%</t>
  </si>
  <si>
    <t>ttfund__YK6MXL4</t>
  </si>
  <si>
    <t>交银活钱加</t>
  </si>
  <si>
    <t>70%×中证货币基金指数+30%×中证短债指数</t>
  </si>
  <si>
    <t>ttfund__QGSWEJH</t>
  </si>
  <si>
    <t>幸福低波小目标10期</t>
  </si>
  <si>
    <t>ttfund__Z1PQJOC</t>
  </si>
  <si>
    <t>交银活钱加（超级版）</t>
  </si>
  <si>
    <t>ttfund__AGIY2KI</t>
  </si>
  <si>
    <t>幸福低波小目标03期</t>
  </si>
  <si>
    <t>ttfund__BJ0LEVA</t>
  </si>
  <si>
    <t>幸福低波小目标02期</t>
  </si>
  <si>
    <t>ttfund__D3LKFKG</t>
  </si>
  <si>
    <t>幸福低波小目标</t>
  </si>
  <si>
    <t>ttfund__EH7YJ3R</t>
  </si>
  <si>
    <t>幸福低波小目标04期</t>
  </si>
  <si>
    <t>ttfund__IEZMKOT</t>
  </si>
  <si>
    <t>幸福低波小目标05期</t>
  </si>
  <si>
    <t>ttfund__OC0HGPN</t>
  </si>
  <si>
    <t>交银活钱加（直销）</t>
  </si>
  <si>
    <t>ttfund__OP5BOKV</t>
  </si>
  <si>
    <t>尊享添盈小目标第17期</t>
  </si>
  <si>
    <t>ttfund__US7AIRR</t>
  </si>
  <si>
    <t>添富理财佳</t>
  </si>
  <si>
    <t>100%中证货币基金指数</t>
  </si>
  <si>
    <t>ttfund__2KX8JKH</t>
  </si>
  <si>
    <t>国泰目标盈第2期</t>
  </si>
  <si>
    <t>沪深300指数*20%+中证全债指数*80%</t>
  </si>
  <si>
    <t>ttfund__3NFKQFZ</t>
  </si>
  <si>
    <t>华安活钱攒</t>
  </si>
  <si>
    <t>ttfund__75CCENW</t>
  </si>
  <si>
    <t>小常乐目标盈天天28期</t>
  </si>
  <si>
    <t>ttfund__NVVDZYX</t>
  </si>
  <si>
    <t>尊享添盈小目标第18期</t>
  </si>
  <si>
    <t>ttfund__UXL4LTX</t>
  </si>
  <si>
    <t>南方活期佳</t>
  </si>
  <si>
    <t>60%×货币基金指数+40%×中证短债指数</t>
  </si>
  <si>
    <t>ttfund__MHCZ93K</t>
  </si>
  <si>
    <t>国富小鑫运货币增强组合</t>
  </si>
  <si>
    <t>ttfund__WBHNFVU</t>
  </si>
  <si>
    <t>国泰货币佳</t>
  </si>
  <si>
    <t>中证全债指数收益率*20%+货币基金收益率*80%</t>
  </si>
  <si>
    <t>gffunds__GFJJ001510</t>
  </si>
  <si>
    <t>广发货币优选（机构版）</t>
  </si>
  <si>
    <t>ttfund__LELNJPP</t>
  </si>
  <si>
    <t>兴全货币佳（超级版）</t>
  </si>
  <si>
    <t>中证短债指数*50%+中证货币基金指数*50%</t>
  </si>
  <si>
    <t>ttfund__DKZQHMP</t>
  </si>
  <si>
    <t>南方活钱佳（超级版）</t>
  </si>
  <si>
    <t>货币基金指数*60%+中证短债指数*40%</t>
  </si>
  <si>
    <t>huaxia_tougu__SF1012</t>
  </si>
  <si>
    <t>货币优享组合</t>
  </si>
  <si>
    <t>ttfund__SF1012</t>
  </si>
  <si>
    <t>华夏货币优享组合</t>
  </si>
  <si>
    <t>ttfund__ZZJFZQK</t>
  </si>
  <si>
    <t>睿安盈-天天尊享</t>
  </si>
  <si>
    <t>业绩比较基准=中证货币型基金指数（代码：H11025.CSI）*100%</t>
  </si>
  <si>
    <t>ttfund__STBTVKT</t>
  </si>
  <si>
    <t>省心投货币宝</t>
  </si>
  <si>
    <t>ttfund__MR7EZFD</t>
  </si>
  <si>
    <t>梧桐货币增强组合</t>
  </si>
  <si>
    <t>100%货币基金指数</t>
  </si>
  <si>
    <t>zocaifu__8100666666</t>
  </si>
  <si>
    <t>超级滚钱宝</t>
  </si>
  <si>
    <t>ttfund__2CQHYXS</t>
  </si>
  <si>
    <t>博时零钱佳</t>
  </si>
  <si>
    <t>ttfund__8WAO1RM</t>
  </si>
  <si>
    <t>农银智享精打算</t>
  </si>
  <si>
    <t>ttfund__ADRHAIP</t>
  </si>
  <si>
    <t>招商闲钱佳</t>
  </si>
  <si>
    <t>中证货币基金指数收益率*50%+中债总财富（1-3）年指数收益率*50%</t>
  </si>
  <si>
    <t>ttfund__SDGPTZZ</t>
  </si>
  <si>
    <t>易方达货币优选</t>
  </si>
  <si>
    <t>ttfund__LNPUS4H</t>
  </si>
  <si>
    <t>财通证券货币佳</t>
  </si>
  <si>
    <t>gffunds__GFJJ000763</t>
  </si>
  <si>
    <t>广发货币优选</t>
  </si>
  <si>
    <t>ttfund__YO2HVUX</t>
  </si>
  <si>
    <t>博时货币佳</t>
  </si>
  <si>
    <t>100%*中证货币基金指数</t>
  </si>
  <si>
    <t>ttfund__NJU70B3</t>
  </si>
  <si>
    <t>东财闲钱添怡</t>
  </si>
  <si>
    <t>中证货币基金指数（H11025）*100%</t>
  </si>
  <si>
    <t>ttfund__1IWVMLN</t>
  </si>
  <si>
    <t>鹏华活钱+</t>
  </si>
  <si>
    <t>60%×中证货币基金指数+40%×中证短债指数</t>
  </si>
  <si>
    <t>ttfund__TBYFMAC</t>
  </si>
  <si>
    <t>银华天玑-日薪月益</t>
  </si>
  <si>
    <t>中证货币市场基金指数（H11025.CSI）*100%</t>
  </si>
  <si>
    <t>ttfund__FYJ0RWP</t>
  </si>
  <si>
    <t>华夏活钱Plus</t>
  </si>
  <si>
    <t>ttfund__5XJT2CJ</t>
  </si>
  <si>
    <t>小常乐目标盈天天29期</t>
  </si>
  <si>
    <t>ttfund__3JXFPOK</t>
  </si>
  <si>
    <t>嘉实天天嘉币宝</t>
  </si>
  <si>
    <t>中证货币型基金指数×100%</t>
  </si>
  <si>
    <t>ttfund__QPHPLAO</t>
  </si>
  <si>
    <t>幸福低波小目标08期</t>
  </si>
  <si>
    <t>ttfund__ZPSGI2S</t>
  </si>
  <si>
    <t>基星高照-稳健固收</t>
  </si>
  <si>
    <t>ttfund__1OAFRT6</t>
  </si>
  <si>
    <t>富国90天低波目标盈05期</t>
  </si>
  <si>
    <t>ttfund__CZKHOMC</t>
  </si>
  <si>
    <t>幸福低波小目标09期</t>
  </si>
  <si>
    <t>ttfund__L4ZPI2U</t>
  </si>
  <si>
    <t>银华天玑-货基组合</t>
  </si>
  <si>
    <t>ttfund__RCXRCGP</t>
  </si>
  <si>
    <t>民生加银活钱宝</t>
  </si>
  <si>
    <t>75%×中证货币基金指数+25%×中证短债指数</t>
  </si>
  <si>
    <t>ttfund__LZKRNIT</t>
  </si>
  <si>
    <t>幸福六六小目标天天31期</t>
  </si>
  <si>
    <t>ttfund__8X100BX</t>
  </si>
  <si>
    <t>固收加精选</t>
  </si>
  <si>
    <t>95%*中债-新综合全价(1-3年)指数 +5%*中证货币基金指数</t>
  </si>
  <si>
    <t>ttfund__NAJX9TR</t>
  </si>
  <si>
    <t>华夏稳盈低波多资产策略</t>
  </si>
  <si>
    <t>10% * 沪深300 + 90% * 中债-综合全价(总值)指数</t>
  </si>
  <si>
    <t>ttfund__VEEM5AA</t>
  </si>
  <si>
    <t>国富细水长流固收增强组合</t>
  </si>
  <si>
    <t>5%中证偏股型基金指数+95%中证债券型基金指数</t>
  </si>
  <si>
    <t>ttfund__J3SCBYO</t>
  </si>
  <si>
    <t>申万菱信小目标第03期</t>
  </si>
  <si>
    <t>ttfund__LF94Q2M</t>
  </si>
  <si>
    <t>中欧薪动月月投</t>
  </si>
  <si>
    <t>ttfund__A2HICVR</t>
  </si>
  <si>
    <t>申万菱信智慧目标投第13期</t>
  </si>
  <si>
    <t>ttfund__ZKJJOUX</t>
  </si>
  <si>
    <t>银华天玑-年年红</t>
  </si>
  <si>
    <t>沪深 300（000300.SH）*13%+中证全债指数（H11001.CSI）*87%</t>
  </si>
  <si>
    <t>zocaifu__8100000761</t>
  </si>
  <si>
    <t>幸福520小目标第18期</t>
  </si>
  <si>
    <t>ttfund__ARPIXW4</t>
  </si>
  <si>
    <t>南方幸福小目标第9期投顾服务</t>
  </si>
  <si>
    <t>90%中证企业债指数+10%沪深全收益300指数</t>
  </si>
  <si>
    <t>ttfund__JH3QU0T</t>
  </si>
  <si>
    <t>南方幸福小目标第1期投顾服务</t>
  </si>
  <si>
    <t>沪深300全收益指数*10%+中证企业债指数*90%</t>
  </si>
  <si>
    <t>ttfund__OD6JMX3</t>
  </si>
  <si>
    <t>南方幸福小目标第7期投顾服务</t>
  </si>
  <si>
    <t>ttfund__PNDHISE</t>
  </si>
  <si>
    <t>南方幸福小目标第4期投顾服务</t>
  </si>
  <si>
    <t>ttfund__TRTX6QU</t>
  </si>
  <si>
    <t>南方幸福小目标第3期投顾服务</t>
  </si>
  <si>
    <t>ttfund__WG8YTQU</t>
  </si>
  <si>
    <t>南方幸福小目标第5期投顾服务</t>
  </si>
  <si>
    <t>ttfund__XII04WJ</t>
  </si>
  <si>
    <t>南方幸福小目标第6期投顾服务</t>
  </si>
  <si>
    <t>ttfund__YEWBDDR</t>
  </si>
  <si>
    <t>南方幸福小目标第2期投顾服务</t>
  </si>
  <si>
    <t>ttfund__ZGFLR91</t>
  </si>
  <si>
    <t>南方幸福小目标第8期投顾服务</t>
  </si>
  <si>
    <t>ttfund__UCSPP5N</t>
  </si>
  <si>
    <t>万家多元稳健配置100份（测试）</t>
  </si>
  <si>
    <t>10%*中证偏股型基金指数+90%*中债-综合指数(全价)</t>
  </si>
  <si>
    <t>ttfund__1ZIJUEE</t>
  </si>
  <si>
    <t>配置精灵Pro</t>
  </si>
  <si>
    <t>ttfund__OC0F6UU</t>
  </si>
  <si>
    <t>配置精灵</t>
  </si>
  <si>
    <t>ttfund__SZHO2PY</t>
  </si>
  <si>
    <t>配置精灵pro（测试）</t>
  </si>
  <si>
    <t>/</t>
  </si>
  <si>
    <t>ttfund__91NE3OR</t>
  </si>
  <si>
    <t>砺远+</t>
  </si>
  <si>
    <t>zocaifu__8100001288</t>
  </si>
  <si>
    <t>幸福低波小目标第16期</t>
  </si>
  <si>
    <t>ttfund__BRRD1D1</t>
  </si>
  <si>
    <t>申万菱信智慧目标投第14期</t>
  </si>
  <si>
    <t>ttfund__GRJYSHD</t>
  </si>
  <si>
    <t>申万菱信智慧目标投第2期</t>
  </si>
  <si>
    <t>ttfund__SOSYT0H</t>
  </si>
  <si>
    <t>申万菱信智慧目标投第12期</t>
  </si>
  <si>
    <t>ttfund__8FDZ9ZR</t>
  </si>
  <si>
    <t>华安小盈加09期</t>
  </si>
  <si>
    <t>ttfund__0ZQMUNY</t>
  </si>
  <si>
    <t>小常乐目标盈天天13期</t>
  </si>
  <si>
    <t>ttfund__156SI0F</t>
  </si>
  <si>
    <t>幸福六六小目标天天03期</t>
  </si>
  <si>
    <t>ttfund__171E5C9</t>
  </si>
  <si>
    <t>南方小目标第12期投顾服务</t>
  </si>
  <si>
    <t>ttfund__1JZQCZO</t>
  </si>
  <si>
    <t>银河目标盈2号01期</t>
  </si>
  <si>
    <t>ttfund__20PNOR9</t>
  </si>
  <si>
    <t>小常乐目标盈天天15期</t>
  </si>
  <si>
    <t>ttfund__2TYT3BL</t>
  </si>
  <si>
    <t>小常乐目标盈天天23期</t>
  </si>
  <si>
    <t>ttfund__31QBANO</t>
  </si>
  <si>
    <t>小常乐目标盈天天14期</t>
  </si>
  <si>
    <t>ttfund__3ZUH7MO</t>
  </si>
  <si>
    <t>景顺长城目标盈03期</t>
  </si>
  <si>
    <t>ttfund__5PAZIUD</t>
  </si>
  <si>
    <t>小常乐目标盈天天17期</t>
  </si>
  <si>
    <t>ttfund__5QN33NP</t>
  </si>
  <si>
    <t>幸福六六小目标天天02期</t>
  </si>
  <si>
    <t>ttfund__7PMJLVF</t>
  </si>
  <si>
    <t>智盈天天第6期投顾服务</t>
  </si>
  <si>
    <t>ttfund__80ZDH98</t>
  </si>
  <si>
    <t>幸福六六小目标天天08期</t>
  </si>
  <si>
    <t>ttfund__8AXARTC</t>
  </si>
  <si>
    <t>小常乐目标盈天天22期</t>
  </si>
  <si>
    <t>ttfund__94D01XL</t>
  </si>
  <si>
    <t>启明星理财升级目标盈 02 期</t>
  </si>
  <si>
    <t>ttfund__AGIVRTC</t>
  </si>
  <si>
    <t>银河目标盈04期</t>
  </si>
  <si>
    <t>ttfund__AXTL7IZ</t>
  </si>
  <si>
    <t>民生加银智投小赢家02期</t>
  </si>
  <si>
    <t>ttfund__BE9WIHH</t>
  </si>
  <si>
    <t>小常乐目标盈天天18期</t>
  </si>
  <si>
    <t>ttfund__BZ1LO16</t>
  </si>
  <si>
    <t>智盈天天第3期投顾服务</t>
  </si>
  <si>
    <t>ttfund__C1MHSAY</t>
  </si>
  <si>
    <t>智盈天天第5期投顾服务</t>
  </si>
  <si>
    <t>ttfund__C6AAM11</t>
  </si>
  <si>
    <t>幸福六六小目标天天04期</t>
  </si>
  <si>
    <t>ttfund__C8F75G1</t>
  </si>
  <si>
    <t>添富目标盈1期投顾服务</t>
  </si>
  <si>
    <t>ttfund__CAXY2S9</t>
  </si>
  <si>
    <t>小常乐目标盈天天08期</t>
  </si>
  <si>
    <t>ttfund__D10MRLU</t>
  </si>
  <si>
    <t>小常乐目标盈天天01期</t>
  </si>
  <si>
    <t>ttfund__DDTUO7E</t>
  </si>
  <si>
    <t>启明星理财升级目标盈03期</t>
  </si>
  <si>
    <t>ttfund__DHQUHIQ</t>
  </si>
  <si>
    <t>银华天玑-小星愿目标盈第03期</t>
  </si>
  <si>
    <t>ttfund__DO91QUG</t>
  </si>
  <si>
    <t>银华天玑-小星愿目标盈第04期</t>
  </si>
  <si>
    <t>ttfund__FD7GQY0</t>
  </si>
  <si>
    <t>华安小盈加01期</t>
  </si>
  <si>
    <t>本投资组合策略权益仓位(股票型基金、偏股混合型基金、股票指数基金等)为10—20%；固定收益类仓位(货币基金、债券型基金、...</t>
  </si>
  <si>
    <t>ttfund__FWOAMML</t>
  </si>
  <si>
    <t>建信小幸运目标盈第3期投顾服务</t>
  </si>
  <si>
    <t>ttfund__FZOIIEG</t>
  </si>
  <si>
    <t>国泰目标盈01期</t>
  </si>
  <si>
    <t>ttfund__GGZBYOS</t>
  </si>
  <si>
    <t>小常乐目标盈天天20期</t>
  </si>
  <si>
    <t>ttfund__GQH4S0H</t>
  </si>
  <si>
    <t>银华天玑-小星愿目标盈第06期</t>
  </si>
  <si>
    <t>ttfund__GYMHU0X</t>
  </si>
  <si>
    <t>银河目标盈03期</t>
  </si>
  <si>
    <t>ttfund__KOY1T0A</t>
  </si>
  <si>
    <t>启明星理财升级目标盈 01 期</t>
  </si>
  <si>
    <t>ttfund__KTSVVHR</t>
  </si>
  <si>
    <t>小常乐目标盈天天24期</t>
  </si>
  <si>
    <t>ttfund__L4OKYJI</t>
  </si>
  <si>
    <t>小常乐目标盈天天09期</t>
  </si>
  <si>
    <t>ttfund__LD9UQZY</t>
  </si>
  <si>
    <t>银华天玑-小星愿目标盈第02期</t>
  </si>
  <si>
    <t>ttfund__MZUMUTO</t>
  </si>
  <si>
    <t>小常乐目标盈天天19期</t>
  </si>
  <si>
    <t>ttfund__NIP170W</t>
  </si>
  <si>
    <t>景顺长城目标盈01期</t>
  </si>
  <si>
    <t>ttfund__NXPJJVN</t>
  </si>
  <si>
    <t>幸福六六小目标天天19期</t>
  </si>
  <si>
    <t>ttfund__ORJF2OI</t>
  </si>
  <si>
    <t>小常乐目标盈天天06期</t>
  </si>
  <si>
    <t>ttfund__OUVWUGA</t>
  </si>
  <si>
    <t>南方小目标第11期投顾服务</t>
  </si>
  <si>
    <t>ttfund__SPLAWGT</t>
  </si>
  <si>
    <t>小常乐目标盈天天11期</t>
  </si>
  <si>
    <t>ttfund__T1OZCFZ</t>
  </si>
  <si>
    <t>银华天玑-小星愿目标盈第05期</t>
  </si>
  <si>
    <t>ttfund__TIESYMH</t>
  </si>
  <si>
    <t>南方小目标第10期投顾服务</t>
  </si>
  <si>
    <t>ttfund__TJF0JIM</t>
  </si>
  <si>
    <t>银河目标盈05期</t>
  </si>
  <si>
    <t>ttfund__U6FTIIZ</t>
  </si>
  <si>
    <t>民生加银智投小赢家01期</t>
  </si>
  <si>
    <t>ttfund__UCGN7MV</t>
  </si>
  <si>
    <t>小常乐目标盈天天03期</t>
  </si>
  <si>
    <t>ttfund__UEEQCXB</t>
  </si>
  <si>
    <t>小常乐目标盈天天16期</t>
  </si>
  <si>
    <t>ttfund__UOSDJCC</t>
  </si>
  <si>
    <t>景顺长城目标盈04期</t>
  </si>
  <si>
    <t>ttfund__UYMHJYY</t>
  </si>
  <si>
    <t>民生加银智投小赢家03期</t>
  </si>
  <si>
    <t>ttfund__VCKEF1O</t>
  </si>
  <si>
    <t>申万菱信小目标第01期</t>
  </si>
  <si>
    <t>ttfund__VUCMEX6</t>
  </si>
  <si>
    <t>幸福六六小目标天天18期</t>
  </si>
  <si>
    <t>ttfund__W4ESSKW</t>
  </si>
  <si>
    <t>景顺长城目标盈02期</t>
  </si>
  <si>
    <t>ttfund__W9GHJJ4</t>
  </si>
  <si>
    <t>小常乐目标盈天天02期</t>
  </si>
  <si>
    <t>ttfund__WIGD758</t>
  </si>
  <si>
    <t>小常乐目标盈天天21期</t>
  </si>
  <si>
    <t>ttfund__WSG6QO1</t>
  </si>
  <si>
    <t>幸福小列车第1期投顾服务</t>
  </si>
  <si>
    <t>ttfund__XIM8B4M</t>
  </si>
  <si>
    <t>小常乐目标盈天天12期</t>
  </si>
  <si>
    <t>ttfund__YADYLIZ</t>
  </si>
  <si>
    <t>小常乐目标盈天天10期</t>
  </si>
  <si>
    <t>ttfund__YFABLEC</t>
  </si>
  <si>
    <t>智盈天天组合第4期(新年特供)</t>
  </si>
  <si>
    <t>ttfund__YNOQ6GO</t>
  </si>
  <si>
    <t>幸福六六小目标天天10期</t>
  </si>
  <si>
    <t>ttfund__Z0G33BJ</t>
  </si>
  <si>
    <t>幸福六六小目标天天01期</t>
  </si>
  <si>
    <t>ttfund__ZCKZHTU</t>
  </si>
  <si>
    <t>小常乐目标盈天天07期(年中版)</t>
  </si>
  <si>
    <t>ttfund__ZTYYYUC</t>
  </si>
  <si>
    <t>大方向平稳小目标01期</t>
  </si>
  <si>
    <t>ttfund__ZVTPCFZ</t>
  </si>
  <si>
    <t>智盈天天第1期投顾服务</t>
  </si>
  <si>
    <t>ttfund__OTZLGJ3</t>
  </si>
  <si>
    <t>申万菱信智慧目标投第9期</t>
  </si>
  <si>
    <t>ttfund__GUKZK4L</t>
  </si>
  <si>
    <t>申万菱信智慧目标投第8期</t>
  </si>
  <si>
    <t>ttfund__5QVSEA2</t>
  </si>
  <si>
    <t>银华天玑-小星愿目标盈第12期</t>
  </si>
  <si>
    <t>ttfund__DOKJA8Q</t>
  </si>
  <si>
    <t>银华天玑-小星愿目标盈第08期</t>
  </si>
  <si>
    <t>ttfund__DVXGYL0</t>
  </si>
  <si>
    <t>银华天玑-小星愿目标盈第11期</t>
  </si>
  <si>
    <t>ttfund__KBME4IQ</t>
  </si>
  <si>
    <t>银华天玑-小星愿目标盈第09期</t>
  </si>
  <si>
    <t>ttfund__YPKWQDB</t>
  </si>
  <si>
    <t>银华天玑-小星愿目标盈第10期</t>
  </si>
  <si>
    <t>ttfund__YSRDZRK</t>
  </si>
  <si>
    <t>申万菱信智慧目标投第6期</t>
  </si>
  <si>
    <t>ttfund__0N3T4JI</t>
  </si>
  <si>
    <t>申万菱信智慧目标投第11期</t>
  </si>
  <si>
    <t>ttfund__2BWLMKP</t>
  </si>
  <si>
    <t>丰慧稳健</t>
  </si>
  <si>
    <t>ttfund__7IBLFIC</t>
  </si>
  <si>
    <t>华泰柏瑞低波动小幸福</t>
  </si>
  <si>
    <t>中证综合债券指数收益率*85%+沪深300指数收益率*15%</t>
  </si>
  <si>
    <t>ttfund__043KGLW</t>
  </si>
  <si>
    <t>申万菱信智慧目标投第19期</t>
  </si>
  <si>
    <t>ttfund__THQXPCK</t>
  </si>
  <si>
    <t>博时乐享稳健</t>
  </si>
  <si>
    <t>10%*偏股基金指数+90%*纯债债基指数</t>
  </si>
  <si>
    <t>ttfund__RNQWHCZ</t>
  </si>
  <si>
    <t>申万菱信智慧目标投第7期</t>
  </si>
  <si>
    <t>ttfund__XFIKWCN</t>
  </si>
  <si>
    <t>攒钱利器策略</t>
  </si>
  <si>
    <t>沪深300指数*20%+中证综合债指数*80%</t>
  </si>
  <si>
    <t>ttfund__01VPJAL</t>
  </si>
  <si>
    <t>申万菱信智慧目标投第1期</t>
  </si>
  <si>
    <t>ttfund__LGI1ZOB</t>
  </si>
  <si>
    <t>智道AI稳健型</t>
  </si>
  <si>
    <t>80%*中证全债指数收益率+15%*货币基金指数+5%黄金9999指数收益率</t>
  </si>
  <si>
    <t>ttfund__KIB3KWQ</t>
  </si>
  <si>
    <t>国泰永续目标盈</t>
  </si>
  <si>
    <t>ttfund__PLHJPPN</t>
  </si>
  <si>
    <t>国泰目标盈03期</t>
  </si>
  <si>
    <t>ttfund__IJHZCKB</t>
  </si>
  <si>
    <t>国泰80后（2040）养老</t>
  </si>
  <si>
    <t>45%沪深300+50%中证全债+5%货币基金指数</t>
  </si>
  <si>
    <t>ttfund__0ZRNTQZ</t>
  </si>
  <si>
    <t>国泰目标盈05期</t>
  </si>
  <si>
    <t>80%中证全债指数+20%沪深300指数</t>
  </si>
  <si>
    <t>ttfund__LLKGLTI</t>
  </si>
  <si>
    <t>国泰目标盈06期</t>
  </si>
  <si>
    <t>ttfund__ZY4J1GA</t>
  </si>
  <si>
    <t>万家黄金小目标01期</t>
  </si>
  <si>
    <t>60%*上海黄金9999+40%*中证货币基金指数</t>
  </si>
  <si>
    <t>ttfund__5E8B7CL</t>
  </si>
  <si>
    <t>司南科技基金精选</t>
  </si>
  <si>
    <t>科技龙头指数*100%</t>
  </si>
  <si>
    <t>FOF-进取型</t>
  </si>
  <si>
    <t>ttfund__XS7XUFT</t>
  </si>
  <si>
    <t>华夏帮你选新科技</t>
  </si>
  <si>
    <t>60% * H30318（TMT150指数）+ 35% * 000906（中证800指数）+ 5% * H11025（货币基金）</t>
  </si>
  <si>
    <t>ttfund__ZO0ZUHT</t>
  </si>
  <si>
    <t>中欧带你投中国智造</t>
  </si>
  <si>
    <t>中证中国制造2025主题指数×85%+中债综合全价指数×15%</t>
  </si>
  <si>
    <t>ttfund__JY48YPE</t>
  </si>
  <si>
    <t>万家非凡新质驱动</t>
  </si>
  <si>
    <t>ttfund__8YTAXE0</t>
  </si>
  <si>
    <t>基星高照-精选权益</t>
  </si>
  <si>
    <t>中证800*95%+上证国债*5%</t>
  </si>
  <si>
    <t>ttfund__PVPPM0T</t>
  </si>
  <si>
    <t>中证500精选</t>
  </si>
  <si>
    <t>95%*中证500指数收益率+5%*中债总全价指数收益率</t>
  </si>
  <si>
    <t>ttfund__6WQJH3E</t>
  </si>
  <si>
    <t>富国带你投数字经济</t>
  </si>
  <si>
    <t>中证数字经济指数收益率(931582)*75%+中证800指数收益率（000906）*15%+中证货币基金指数(H11025)*10%</t>
  </si>
  <si>
    <t>ttfund__HCIO86O</t>
  </si>
  <si>
    <t>交银全明星</t>
  </si>
  <si>
    <t>中证偏股混合基金指数*100%</t>
  </si>
  <si>
    <t>ttfund__Y2PSDFA</t>
  </si>
  <si>
    <t>交银全明星双周投（直销）</t>
  </si>
  <si>
    <t>100%中证偏股型基金指数</t>
  </si>
  <si>
    <t>ttfund__CN0Z9DV</t>
  </si>
  <si>
    <t>交银全明星（直销）</t>
  </si>
  <si>
    <t>ttfund__CMONR3M</t>
  </si>
  <si>
    <t>华泰柏瑞研究精选</t>
  </si>
  <si>
    <t>gffunds__GFJJ000008</t>
  </si>
  <si>
    <t>奔跑吧牛基</t>
  </si>
  <si>
    <t>沪深 300 指数收益率*90%+中债综合全价（总值） 指数收益率*10%；</t>
  </si>
  <si>
    <t>ttfund__CKNXBEP</t>
  </si>
  <si>
    <t>沪深300*90%+中债综合全价（总值）指数*10%</t>
  </si>
  <si>
    <t>ttfund__9F01XG1</t>
  </si>
  <si>
    <t>国信基本面行业轮动</t>
  </si>
  <si>
    <t>中证800指数收益率*95%+中证综合全价（总值）指数收益率*5%</t>
  </si>
  <si>
    <t>ttfund__WLIMQXD</t>
  </si>
  <si>
    <t>中信建投勇攀高峰</t>
  </si>
  <si>
    <t>20%中债新综合指数+40%中证全指信息指数+40%中证医药</t>
  </si>
  <si>
    <t>ttfund__BI2AB5W</t>
  </si>
  <si>
    <t>国信成长先锋</t>
  </si>
  <si>
    <t>ttfund__H0ZPFFI</t>
  </si>
  <si>
    <t>司南新能源基金精选</t>
  </si>
  <si>
    <t>CS新能源*100%</t>
  </si>
  <si>
    <t>ttfund__UKFP1FU</t>
  </si>
  <si>
    <t>万家权益向钱冲</t>
  </si>
  <si>
    <t>中证偏股型基金指数*90%+中证货币基金指数*10%</t>
  </si>
  <si>
    <t>ttfund__YS4AEFG</t>
  </si>
  <si>
    <t>易方达权益配置</t>
  </si>
  <si>
    <t>中证偏股型基金指数*90%+中证普通债券型基金指数*10%</t>
  </si>
  <si>
    <t>ttfund__EOM0KLF</t>
  </si>
  <si>
    <t>申万菱信美好生活</t>
  </si>
  <si>
    <t>中证800*90%+上证国债*10%</t>
  </si>
  <si>
    <t>ttfund__PBYL0ZS</t>
  </si>
  <si>
    <t>一哥懒到家</t>
  </si>
  <si>
    <t>业绩比较基准=中证800*90%+中证全债*10%</t>
  </si>
  <si>
    <t>ttfund__9TLCNVT</t>
  </si>
  <si>
    <t>万家非凡小目标03期</t>
  </si>
  <si>
    <t>100%*中证偏股基金指数收益率</t>
  </si>
  <si>
    <t>ttfund__AFGNOHJ</t>
  </si>
  <si>
    <t>华泰柏瑞长风破浪</t>
  </si>
  <si>
    <t>沪深300指数收益率*95%+中证综合债指数收益率*5%</t>
  </si>
  <si>
    <t>ttfund__3KMBBBD</t>
  </si>
  <si>
    <t>中欧优势行业全明星</t>
  </si>
  <si>
    <t>沪深300指数×100%</t>
  </si>
  <si>
    <t>ttfund__YXZZPLO</t>
  </si>
  <si>
    <t>万家非凡均衡1号</t>
  </si>
  <si>
    <t>100%中证偏股基金指数收益率</t>
  </si>
  <si>
    <t>ttfund__XOWFF80</t>
  </si>
  <si>
    <t>博时乐意锐进</t>
  </si>
  <si>
    <t>95%*偏股基金指数+5%*货币基金指数</t>
  </si>
  <si>
    <t>ttfund__PCBQDOD</t>
  </si>
  <si>
    <t>万家非凡均衡小目标</t>
  </si>
  <si>
    <t>ttfund__LX0X4II</t>
  </si>
  <si>
    <t>博时权益精选</t>
  </si>
  <si>
    <t>95%偏股基金指数+5%货币基金指数</t>
  </si>
  <si>
    <t>gffunds__GFJJ000834</t>
  </si>
  <si>
    <t>积极优选组合</t>
  </si>
  <si>
    <t>ttfund__WGAFPVL</t>
  </si>
  <si>
    <t>进取养基场</t>
  </si>
  <si>
    <t>ttfund__WCKUWEO</t>
  </si>
  <si>
    <t>华夏帮你选新能源</t>
  </si>
  <si>
    <t>60% * 000941（新能源指数）+ 35% * 000906（中证800指数）+ 5% * H11025（货币基金）</t>
  </si>
  <si>
    <t>ttfund__WZA6IVC</t>
  </si>
  <si>
    <t>安鑫激进90</t>
  </si>
  <si>
    <t>业绩比较基准=沪深300*90%+中证全债*10%</t>
  </si>
  <si>
    <t>ttfund__8RYCYCL</t>
  </si>
  <si>
    <t>沪深300精选</t>
  </si>
  <si>
    <t>95%*沪深300指数收益率+5%*中债总全价指数收益率</t>
  </si>
  <si>
    <t>ttfund__YGKZ97T</t>
  </si>
  <si>
    <t>广发超级定投家</t>
  </si>
  <si>
    <t>95%*沪深300+5%*中债综合全价（总值）指数</t>
  </si>
  <si>
    <t>ttfund__DYJZKWD</t>
  </si>
  <si>
    <t>信鸽优势精选组合2号</t>
  </si>
  <si>
    <t>沪深300指数*80%+中债总财富指数*20%</t>
  </si>
  <si>
    <t>gffunds__GFJJ001387</t>
  </si>
  <si>
    <t>广发中国30甄选</t>
  </si>
  <si>
    <t>gffunds__GFJJ000219</t>
  </si>
  <si>
    <t>超级定投家</t>
  </si>
  <si>
    <t>95%*沪深 300 指数收益率+5%*中债综合全价（总值）指数收益 率</t>
  </si>
  <si>
    <t>gffunds__GFJJ000758</t>
  </si>
  <si>
    <t>积极进取组合</t>
  </si>
  <si>
    <t>沪深 300 指数收益率*95%+中债综合全价（总值）指数收益率 *5%；</t>
  </si>
  <si>
    <t>gffunds__GFJJ000783</t>
  </si>
  <si>
    <t>积极精选组合</t>
  </si>
  <si>
    <t>ttfund__9KUSDD2</t>
  </si>
  <si>
    <t>嘉实小杏运组合第1期</t>
  </si>
  <si>
    <t>中证500指数*50%+中证货币基金指数*50%</t>
  </si>
  <si>
    <t>ttfund__GBMCNVY</t>
  </si>
  <si>
    <t>嘉实小杏运组合第2期</t>
  </si>
  <si>
    <t>ttfund__1H1Z88E</t>
  </si>
  <si>
    <t>行业风火轮</t>
  </si>
  <si>
    <t>85%*中证800指数收益率+15%*中债总全价指数收益率</t>
  </si>
  <si>
    <t>ttfund__XFHBVZK</t>
  </si>
  <si>
    <t>积少成多</t>
  </si>
  <si>
    <t>ttfund__JQNQMI3</t>
  </si>
  <si>
    <t>中欧超级股票全明星</t>
  </si>
  <si>
    <t>中证偏股基金指数 *98%+中证货币基金指数收益率*2%</t>
  </si>
  <si>
    <t>ttfund__J5HYOPT</t>
  </si>
  <si>
    <t>中欧财富+3号</t>
  </si>
  <si>
    <t>ttfund__6RFAWSR</t>
  </si>
  <si>
    <t>中欧潜力全明星</t>
  </si>
  <si>
    <t>ttfund__R2WTOE0</t>
  </si>
  <si>
    <t>A股股票基金精选策略</t>
  </si>
  <si>
    <t>中证800指数×87.5%+上证国债指数×12.5%</t>
  </si>
  <si>
    <t>ttfund__YRZB515</t>
  </si>
  <si>
    <t>银华天玑-股基组合</t>
  </si>
  <si>
    <t>沪深300（000300.SH）*100%</t>
  </si>
  <si>
    <t>ttfund__EGLONPC</t>
  </si>
  <si>
    <t>华安匠人匠心队</t>
  </si>
  <si>
    <t>中证800纯收益*95%+中证全债*5%</t>
  </si>
  <si>
    <t>gffunds__GFJJ001503</t>
  </si>
  <si>
    <t>广发甄选尊享组合</t>
  </si>
  <si>
    <t>中证 800 指数收益率*95%+中债综合全价（总值）指数收益率 *5%</t>
  </si>
  <si>
    <t>ttfund__N6VKE8R</t>
  </si>
  <si>
    <t>东财主题掘金</t>
  </si>
  <si>
    <t>沪深300指数*95%+中证货币基金指数*5%</t>
  </si>
  <si>
    <t>huaxia_tougu__SF1014</t>
  </si>
  <si>
    <t>指数轮动组合</t>
  </si>
  <si>
    <t>ttfund__WJOMCF4</t>
  </si>
  <si>
    <t>省心投500指增优选</t>
  </si>
  <si>
    <t>中证500指数*95%+货币基金*5%</t>
  </si>
  <si>
    <t>ttfund__CTDSPLY</t>
  </si>
  <si>
    <t>国信优势成长</t>
  </si>
  <si>
    <t>ttfund__K055GGH</t>
  </si>
  <si>
    <t>省心投1000指增优选</t>
  </si>
  <si>
    <t>中证1000指数*95%+货币基金*5%</t>
  </si>
  <si>
    <t>ttfund__2VBD0WY</t>
  </si>
  <si>
    <t>添富偏股先锋</t>
  </si>
  <si>
    <t>沪深300指数收益率*90%+中证全债指数收益率*10%</t>
  </si>
  <si>
    <t>ttfund__O5KGYBW</t>
  </si>
  <si>
    <t>涨乐混合指增优选</t>
  </si>
  <si>
    <t>沪深300指数*25%+中证500指数*30%+中证1000指数*40%+货币基金*5%</t>
  </si>
  <si>
    <t>huaxia_tougu__SF1013</t>
  </si>
  <si>
    <t>90后智享自由组合</t>
  </si>
  <si>
    <t>ttfund__SF1013</t>
  </si>
  <si>
    <t>华夏90后智享自由组合</t>
  </si>
  <si>
    <t>中证800×80%+中债综合财富指数×15%+中证货币基金指数×5%</t>
  </si>
  <si>
    <t>ttfund__VYL0JBA</t>
  </si>
  <si>
    <t>华安体验派梦之队</t>
  </si>
  <si>
    <t>中证800纯收益*70%+中证全债*30%</t>
  </si>
  <si>
    <t>ttfund__OGXTMZH</t>
  </si>
  <si>
    <t>景顺长城进取目标盈01期</t>
  </si>
  <si>
    <t>中证偏股型基金指数*90%+中债综合全价（总值）指数*5%+中证货币基金指数*5%</t>
  </si>
  <si>
    <t>ttfund__KQ9I1ZY</t>
  </si>
  <si>
    <t>易方达智航易投8号</t>
  </si>
  <si>
    <t>中证普通债券型基金指数*20%+中证偏股型基金指数*80%</t>
  </si>
  <si>
    <t>ttfund__TJEHNIM</t>
  </si>
  <si>
    <t>景顺长城指数优选</t>
  </si>
  <si>
    <t>95%中证A500指数+5%中证货币基金指数</t>
  </si>
  <si>
    <t>huaxia_tougu__SF1039</t>
  </si>
  <si>
    <t>指数增强组合</t>
  </si>
  <si>
    <t>ttfund__AK5WWUX</t>
  </si>
  <si>
    <t>中欧带你投碳中和</t>
  </si>
  <si>
    <t>中证环保指数×85%+中债综合全价指数×15%</t>
  </si>
  <si>
    <t>ttfund__VRDGCKJ</t>
  </si>
  <si>
    <t>安鑫积极70</t>
  </si>
  <si>
    <t>业绩比较基准=沪深300*70%+中证全债*30%</t>
  </si>
  <si>
    <t>ttfund__W111J6C</t>
  </si>
  <si>
    <t>慢慢变富</t>
  </si>
  <si>
    <t>95%*中证800指数收益率 +5%*中证全债指数收益率</t>
  </si>
  <si>
    <t>ttfund__H040SJM</t>
  </si>
  <si>
    <t>省心投混合指增优选</t>
  </si>
  <si>
    <t>ttfund__P4LDDZU</t>
  </si>
  <si>
    <t>司南军工基金精选</t>
  </si>
  <si>
    <t>中证军工×100%</t>
  </si>
  <si>
    <t>gffunds__GFJJ001411</t>
  </si>
  <si>
    <t>广发小盘先锋</t>
  </si>
  <si>
    <t>中证 500 指数收益率*95%+中证货币型基金指数收 益率*5%；</t>
  </si>
  <si>
    <t>ttfund__XC71LBU</t>
  </si>
  <si>
    <t>一路有妮</t>
  </si>
  <si>
    <t>95%*中证800指数
+5%*中证货币基金指数</t>
  </si>
  <si>
    <t>ttfund__DWJWG3A</t>
  </si>
  <si>
    <t>工银瑞信指数PLUS策略（直销）</t>
  </si>
  <si>
    <t>业绩比较基准=中证800×90%+中证货币基金指数×10%</t>
  </si>
  <si>
    <t>ttfund__5APQU8D</t>
  </si>
  <si>
    <t>万家非凡小目标02期</t>
  </si>
  <si>
    <t>ttfund__S9DIBJH</t>
  </si>
  <si>
    <t>久聪指数增强</t>
  </si>
  <si>
    <t>95%*中证800指数收益率+5%*货币基金指数收益率</t>
  </si>
  <si>
    <t>ttfund__G290TJT</t>
  </si>
  <si>
    <t>90后水滴养老</t>
  </si>
  <si>
    <t>ttfund__4CCAB0D</t>
  </si>
  <si>
    <t>主动出击</t>
  </si>
  <si>
    <t>ttfund__XHRCPGP</t>
  </si>
  <si>
    <t>节节高混合</t>
  </si>
  <si>
    <t>业绩比较基准=偏股基金*70%+中证全债*30%</t>
  </si>
  <si>
    <t>ttfund__PBQO6KY</t>
  </si>
  <si>
    <t>嘉实全明星精选组合</t>
  </si>
  <si>
    <t>沪深300指数×80%+中证全债指数×20%</t>
  </si>
  <si>
    <t>ttfund__CO0XPRY</t>
  </si>
  <si>
    <t>万家非凡价值1号</t>
  </si>
  <si>
    <t>ttfund__J01SBVL</t>
  </si>
  <si>
    <t>省心投A500指增优选</t>
  </si>
  <si>
    <t>中证A500指数（000510.SH) * 95% + 中证货币基金指数（H11025.CSI) * 5%</t>
  </si>
  <si>
    <t>ttfund__QYTBEAD</t>
  </si>
  <si>
    <t>全A增强</t>
  </si>
  <si>
    <t>95%*中证全指指数
+5%*中证货币基金指数</t>
  </si>
  <si>
    <t>ttfund__RMMNPYX</t>
  </si>
  <si>
    <t>招商量化掘金</t>
  </si>
  <si>
    <t>中证货币基金指数收益率*5%+中证500指数收益率*95%</t>
  </si>
  <si>
    <t>ttfund__YIIQICC</t>
  </si>
  <si>
    <t>招商小超越目标盈第1期</t>
  </si>
  <si>
    <t>沪深300指数收益率*95%+中证全债指数收益率*5%</t>
  </si>
  <si>
    <t>ttfund__GHKRXDO</t>
  </si>
  <si>
    <t>轮动进取</t>
  </si>
  <si>
    <t>ttfund__LQ6MN4M</t>
  </si>
  <si>
    <t>富国带你投能源安全</t>
  </si>
  <si>
    <t>SEEE碳中和指数（931755）收益率*70%+中证800指数（000906）收益率*20%+中证货币基金指数(H11025)*10%</t>
  </si>
  <si>
    <t>ttfund__MPG2B8T</t>
  </si>
  <si>
    <t>添富权益严选</t>
  </si>
  <si>
    <t>沪深300指数收益率</t>
  </si>
  <si>
    <t>ttfund__CMF07002</t>
  </si>
  <si>
    <t>招商行业掘金</t>
  </si>
  <si>
    <t>ttfund__YO6SLVP</t>
  </si>
  <si>
    <t>工银瑞信指数PLUS策略</t>
  </si>
  <si>
    <t>ttfund__MEA8GN0</t>
  </si>
  <si>
    <t>华安偏股梦之队</t>
  </si>
  <si>
    <t>中证偏股型基金指数收益率*95%+中债综合财富指数收益率*5%</t>
  </si>
  <si>
    <t>ttfund__JWXZ91G</t>
  </si>
  <si>
    <t>鹏华群星闪耀</t>
  </si>
  <si>
    <t>沪深300指数收益率*90%+中证货币基金指数收益率*10%</t>
  </si>
  <si>
    <t>ttfund__X2ZHD0T</t>
  </si>
  <si>
    <t>精选中生代</t>
  </si>
  <si>
    <t>90%*中证800指数收益率+5%*中债总全价指数收益率+5%*货币基金指数收益率</t>
  </si>
  <si>
    <t>ttfund__0JOEXAY</t>
  </si>
  <si>
    <t>饭团优选积极</t>
  </si>
  <si>
    <t>ttfund__SDNDMEG</t>
  </si>
  <si>
    <t>大方向之行稳致远策略</t>
  </si>
  <si>
    <t>中证800指数* 80%+中证全债指数（净价）* 20%</t>
  </si>
  <si>
    <t>ttfund__YRYNQVQ</t>
  </si>
  <si>
    <t>华安指挥家</t>
  </si>
  <si>
    <t>中证800纯收益*100%</t>
  </si>
  <si>
    <t>ttfund__1STACE0</t>
  </si>
  <si>
    <t>国信300增强</t>
  </si>
  <si>
    <t>沪深300指数收益率*95%+银行人民币活期存款利率(税后)*5%</t>
  </si>
  <si>
    <t>ttfund__TCFQM3R</t>
  </si>
  <si>
    <t>大树底下好乘凉</t>
  </si>
  <si>
    <t>40%*中证全债指数收益率+60%*中证800指数收益率</t>
  </si>
  <si>
    <t>ttfund__POVM1MK</t>
  </si>
  <si>
    <t>工银瑞信积极进取（直销）</t>
  </si>
  <si>
    <t>ttfund__MOH12IQ</t>
  </si>
  <si>
    <t>饭团优选进取</t>
  </si>
  <si>
    <t>ttfund__DEM9I5U</t>
  </si>
  <si>
    <t>富国满天星追求收益</t>
  </si>
  <si>
    <t>中债综合全价指数收益率*10%+中证偏股混合基金指数*90%</t>
  </si>
  <si>
    <t>ttfund__V2OXKQK</t>
  </si>
  <si>
    <t>大树底下硬科技</t>
  </si>
  <si>
    <t>95%*中证800指数收益率 +5%*货币基金指数收益率</t>
  </si>
  <si>
    <t>ttfund__ND0K2E9</t>
  </si>
  <si>
    <t>长跑老司基</t>
  </si>
  <si>
    <t>80%*中证800指数收益率+15%*中债总全价指数收益率+5%*货币基金指数收益率</t>
  </si>
  <si>
    <t>ttfund__YN3C31T</t>
  </si>
  <si>
    <t>华夏帮你选新消费</t>
  </si>
  <si>
    <t>60% * 000942（消费主题指数）+ 35% * 000906（中证800指数）+ 5% * H11025（货币基金）</t>
  </si>
  <si>
    <t>ttfund__EZEF0XE</t>
  </si>
  <si>
    <t>资产与风格轮动策略</t>
  </si>
  <si>
    <t>沪深300指数*70%+中证综合债指数*30%</t>
  </si>
  <si>
    <t>ttfund__1E8NGQ7</t>
  </si>
  <si>
    <t>嘉实财富权益甄选</t>
  </si>
  <si>
    <t>中证800指数×95%+货币基金指数×5%</t>
  </si>
  <si>
    <t>ttfund__0WCXULX</t>
  </si>
  <si>
    <t>国富大理想权益精选组合</t>
  </si>
  <si>
    <t>85%中证偏股型基金指数+ 15%中证债券型基金指数</t>
  </si>
  <si>
    <t>ttfund__XCOVSEX</t>
  </si>
  <si>
    <t>越海</t>
  </si>
  <si>
    <t>zocaifu__8100000100</t>
  </si>
  <si>
    <t>水滴英才计划-目标2038</t>
  </si>
  <si>
    <t>ttfund__5XTTODJ</t>
  </si>
  <si>
    <t>砺远价值</t>
  </si>
  <si>
    <t>沪深300指数（000300）收益率×80%+中债新综合全价（总值）指数（CBA00103）收益率×20%</t>
  </si>
  <si>
    <t>ttfund__6LCCEBJ</t>
  </si>
  <si>
    <t>交银指数星球（直销）</t>
  </si>
  <si>
    <t>100%×中证800指数</t>
  </si>
  <si>
    <t>ttfund__8EHTYYY</t>
  </si>
  <si>
    <t>交银指数星球</t>
  </si>
  <si>
    <t>ttfund__ZHDNUFS</t>
  </si>
  <si>
    <t>梧桐指数严选组合</t>
  </si>
  <si>
    <t>ttfund__RVANL9E</t>
  </si>
  <si>
    <t>工银瑞信权益精选混合（直销）</t>
  </si>
  <si>
    <t>上证国债指数×25%+中证800指数×70%+中证货币基金指数×5%</t>
  </si>
  <si>
    <t>ttfund__GFBGH41</t>
  </si>
  <si>
    <t>君盈-成长</t>
  </si>
  <si>
    <t>huaxia_tougu__SF1016</t>
  </si>
  <si>
    <t>权益优选组合</t>
  </si>
  <si>
    <t>ttfund__IWNVGBF</t>
  </si>
  <si>
    <t>华安指数轻松投（100份）</t>
  </si>
  <si>
    <t>中证A500指数收益率 ×95%+中债综合全价指数收益率×5%</t>
  </si>
  <si>
    <t>ttfund__LZM096U</t>
  </si>
  <si>
    <t>招商科技掘金</t>
  </si>
  <si>
    <t>中证货币基金指数收益率*5%+TMT50指数收益率*95%</t>
  </si>
  <si>
    <t>ttfund__SF1016</t>
  </si>
  <si>
    <t>华夏权益优选组合</t>
  </si>
  <si>
    <t>中证800×80%+中证货币基金指数×20%</t>
  </si>
  <si>
    <t>ttfund__H0GRDBP</t>
  </si>
  <si>
    <t>广发价值30甄选</t>
  </si>
  <si>
    <t>ttfund__BYRTWBK</t>
  </si>
  <si>
    <t>中欧带你投医疗健康</t>
  </si>
  <si>
    <t>业绩比较基准=中证医药卫生指数（000933.SH）*100%</t>
  </si>
  <si>
    <t>ttfund__GQNBKYD</t>
  </si>
  <si>
    <t>滴水穿石</t>
  </si>
  <si>
    <t>90%*中证800指数收益率+10%货币基金指数收益率</t>
  </si>
  <si>
    <t>gffunds__GFJJ001204</t>
  </si>
  <si>
    <t>ttfund__AEBR89C</t>
  </si>
  <si>
    <t>中欧带你投新消费</t>
  </si>
  <si>
    <t>中证内地消费指数×85%+中债综合全价指数×15%</t>
  </si>
  <si>
    <t>ttfund__ERR4QWX</t>
  </si>
  <si>
    <t>萌萌的国内</t>
  </si>
  <si>
    <t>ttfund__JPUC3FJ</t>
  </si>
  <si>
    <t>易方达红利权益配置</t>
  </si>
  <si>
    <t>中证红利指数*90%+中证货币基金指数*10%</t>
  </si>
  <si>
    <t>ttfund__UOJM3DN</t>
  </si>
  <si>
    <t>省心投红利增强</t>
  </si>
  <si>
    <t>中证红利指数收益率*90%+中证货币基金指数收益率*10%</t>
  </si>
  <si>
    <t>ttfund__Q00GY26</t>
  </si>
  <si>
    <t>萌萌的随心投</t>
  </si>
  <si>
    <t>ttfund__7HUJJV3</t>
  </si>
  <si>
    <t>富国带你投消费医药</t>
  </si>
  <si>
    <t>中证主要消费指数（000932）收益率*60%+中证医药卫生指数（000933）收益率*30%+中证货币基金指数(H11025)*10%</t>
  </si>
  <si>
    <t>ttfund__7VS1PHH</t>
  </si>
  <si>
    <t>司南消费基金精选</t>
  </si>
  <si>
    <t>中证消费*100%</t>
  </si>
  <si>
    <t>ttfund__OHMRGVW</t>
  </si>
  <si>
    <t>大树底下好消费</t>
  </si>
  <si>
    <t>ttfund__1DGMVJL</t>
  </si>
  <si>
    <t>带你投科技</t>
  </si>
  <si>
    <t>95%中证科技指数+5%中债综合全价（总值）指数</t>
  </si>
  <si>
    <t>QDII-FOF</t>
  </si>
  <si>
    <t>ttfund__FYOR0DY</t>
  </si>
  <si>
    <t>中欧带你投AI科技</t>
  </si>
  <si>
    <t>70%×中国战略新兴产业成份指数+20%×MSCI沪深300成长指数+10%×货币基金指数</t>
  </si>
  <si>
    <t>ttfund__O0QRRTT</t>
  </si>
  <si>
    <t>中欧带你投硬科技</t>
  </si>
  <si>
    <t>70%中国战略新兴产业成份指数+20%MSCI沪深300成长指数+10%货币基金指数</t>
  </si>
  <si>
    <t>zocaifu__8100000609</t>
  </si>
  <si>
    <t>中国战略新兴产业成份指数（000171.CSI）收益率×70%+沪深300成长指数（000918.CSI）×20%+货币基金指数（H11025.CSI）收益率×10%</t>
  </si>
  <si>
    <t>ttfund__QBN0AHI</t>
  </si>
  <si>
    <t>带你投新生代</t>
  </si>
  <si>
    <t>95%沪深300+5%中债综合全价（总值）指数</t>
  </si>
  <si>
    <t>ttfund__IMLMBLP</t>
  </si>
  <si>
    <t>招商海外掘金</t>
  </si>
  <si>
    <t>ttfund__0K1SJNN</t>
  </si>
  <si>
    <t>财通优选增强</t>
  </si>
  <si>
    <t>沪深300*85%+中证全债15%</t>
  </si>
  <si>
    <t>ttfund__3PCFE3U</t>
  </si>
  <si>
    <t>添富跟我投</t>
  </si>
  <si>
    <t>沪深300指数收益率*90%+中债综合指数收益率*10%</t>
  </si>
  <si>
    <t>ttfund__FTPYRQA</t>
  </si>
  <si>
    <t>蛟龙全球机遇</t>
  </si>
  <si>
    <t>中证800指数*20%+MSCI世界指数*40%+中债-新综合指数*30%+伦敦金*10%</t>
  </si>
  <si>
    <t>gffunds__GFJJ001394</t>
  </si>
  <si>
    <t>广发全球甄选尊享1号</t>
  </si>
  <si>
    <t>人民币计价的 MSCI 全球指数收益率*95%+中债综合全价（总 值）指数收益率*5%</t>
  </si>
  <si>
    <t>ttfund__HJGKKT0</t>
  </si>
  <si>
    <t>财星选进取</t>
  </si>
  <si>
    <t>中证500指数*95%+中债财富总指数*5%</t>
  </si>
  <si>
    <t>ttfund__AGVHHE6</t>
  </si>
  <si>
    <t>守正出奇</t>
  </si>
  <si>
    <t>业绩比较基准=偏股基金*80%+中证全债*20%</t>
  </si>
  <si>
    <t>ttfund__AJVD96Y</t>
  </si>
  <si>
    <t>司南多因子蓝筹组合</t>
  </si>
  <si>
    <t>沪深300指数×90%+上证国债指数×10%</t>
  </si>
  <si>
    <t>ttfund__LADYCSH</t>
  </si>
  <si>
    <t>景顺长城犇犇全明星</t>
  </si>
  <si>
    <t>沪深300指数收益率*90% +中证全债指数收益率*5%+中证货币基金指数收益率*5%</t>
  </si>
  <si>
    <t>ttfund__PUCS6RG</t>
  </si>
  <si>
    <t>华泰高客（测试）</t>
  </si>
  <si>
    <t>ttfund__FI7B1IK</t>
  </si>
  <si>
    <t>国联和光藏锋2号</t>
  </si>
  <si>
    <t>gffunds__GFJJ001577</t>
  </si>
  <si>
    <t>广发指数宝</t>
  </si>
  <si>
    <t>huaxia_tougu__SF1018</t>
  </si>
  <si>
    <t>常青藤教育金组合</t>
  </si>
  <si>
    <t>ttfund__JHRSLPX</t>
  </si>
  <si>
    <t>永动机全球型</t>
  </si>
  <si>
    <t>50%*标普500指数收益率+30%*恒生指数收益率+20%*中证800指数收益率</t>
  </si>
  <si>
    <t>ttfund__SF1018</t>
  </si>
  <si>
    <t>华夏常青藤教育金组合</t>
  </si>
  <si>
    <t>中证800×50%+中债综合财富指数×45%+中证货币基金指数×5%</t>
  </si>
  <si>
    <t>ttfund__WFYZMVR</t>
  </si>
  <si>
    <t>国联和光藏锋</t>
  </si>
  <si>
    <t>ttfund__GKDZDWO</t>
  </si>
  <si>
    <t>带你投长跑老将</t>
  </si>
  <si>
    <t>90%*沪深300指数收益率+10%*中债综合全价（总值）指数</t>
  </si>
  <si>
    <t>ttfund__BYK8SG2</t>
  </si>
  <si>
    <t>十年成长优选</t>
  </si>
  <si>
    <t>ttfund__SL0KYER</t>
  </si>
  <si>
    <t>华泰柏瑞十权十美</t>
  </si>
  <si>
    <t>ttfund__YABTCTW</t>
  </si>
  <si>
    <t>星际穿越</t>
  </si>
  <si>
    <t>50%*标普500指数收益率+25%*恒生指数收益率+25%*沪深300指数收益率</t>
  </si>
  <si>
    <t>ttfund__FLMYWQE</t>
  </si>
  <si>
    <t>萌萌的海外</t>
  </si>
  <si>
    <t>业绩比较基准=MSCI全球*90%+中证全债*10%</t>
  </si>
  <si>
    <t>ttfund__M8UZQJZ</t>
  </si>
  <si>
    <t>盈添宽基轮动</t>
  </si>
  <si>
    <t>ttfund__EXIG5UK</t>
  </si>
  <si>
    <t>全球配置三动力</t>
  </si>
  <si>
    <t>ttfund__CBJSOMR</t>
  </si>
  <si>
    <t>兴全进取派优选</t>
  </si>
  <si>
    <t>中证偏股基金指数（930950）*98%+中证货币基金指数（H11025）*2%</t>
  </si>
  <si>
    <t>ttfund__MHNKQEV</t>
  </si>
  <si>
    <t>海外优选</t>
  </si>
  <si>
    <t>中证QDII基金指数*95%+中证货币基金指数*5%</t>
  </si>
  <si>
    <t>gffunds__GFJJ000769</t>
  </si>
  <si>
    <t>股债动态配置组合</t>
  </si>
  <si>
    <t>沪深 300 指数收益率*60%+中债综合全价（总值）指数收益率 *40%</t>
  </si>
  <si>
    <t>ttfund__BWCYE2L</t>
  </si>
  <si>
    <t>易方达进取投资</t>
  </si>
  <si>
    <t>中证普通债券型基金指数×40%+中证偏股型基金指数×60%</t>
  </si>
  <si>
    <t>ttfund__1BK0MD1</t>
  </si>
  <si>
    <t>银河战舰</t>
  </si>
  <si>
    <t>gffunds__GFJJ002301</t>
  </si>
  <si>
    <t>广发全天候进取定制策略</t>
  </si>
  <si>
    <t>沪深 300 指数收益率*25%+人民币计价的 MSCI 全球指数收益率 *25%+按上海黄金交易所 Au99.99 现货实盘合约收盘价计算的收益率 *30%+中债综合全价（总值）指数收益率*20%</t>
  </si>
  <si>
    <t>ttfund__ARTNKDP</t>
  </si>
  <si>
    <t>易方达激进投资</t>
  </si>
  <si>
    <t>中证普通债券型基金指数*10%+中证偏股型基金指数*90%</t>
  </si>
  <si>
    <t>ttfund__8TQQ2SA</t>
  </si>
  <si>
    <t>华夏海外权益组合</t>
  </si>
  <si>
    <t>MSCI全球指数 × 90% + 中证货币型基金指数 (H11025) × 10%</t>
  </si>
  <si>
    <t>ttfund__E54POCY</t>
  </si>
  <si>
    <t>磐石瞭望</t>
  </si>
  <si>
    <t>85%*中证800指数收益率 +5%*货币基金指数收益率 +10%*中债总全价指数收益率</t>
  </si>
  <si>
    <t>ttfund__KECU258</t>
  </si>
  <si>
    <t>国富大航海全球精选组合</t>
  </si>
  <si>
    <t>85%MSCI全球指数+15%中证货币基金指数</t>
  </si>
  <si>
    <t>ttfund__44FP3H0</t>
  </si>
  <si>
    <t>砺远成长</t>
  </si>
  <si>
    <t>沪深300指数（000300）收益率×90%+中债新综合全价（总值）指数（CBA00103）收益率×10%</t>
  </si>
  <si>
    <t>ttfund__FEJCLJJ</t>
  </si>
  <si>
    <t>表匠主动阿尔法</t>
  </si>
  <si>
    <t>上证综合指数*40%+恒生指数*20%+标普500*5%+中债新综合全价（1-3年）指数*30%+大宗商品*5%</t>
  </si>
  <si>
    <t>ttfund__M06GNPI</t>
  </si>
  <si>
    <t>药师指数趋势轮动</t>
  </si>
  <si>
    <t>95%*中证800指数收益率 +5%*中证货币指数收益率</t>
  </si>
  <si>
    <t>gffunds__GFJJ001681</t>
  </si>
  <si>
    <t>广发全天候多元配置定制策略</t>
  </si>
  <si>
    <t>ttfund__6G0EANJ</t>
  </si>
  <si>
    <t>省心投中美双500</t>
  </si>
  <si>
    <t>中证A500指数（000510.SH）* 45% + 标普500指数（SPX.GI）* 45% + 中证货币基金指数（H11025.CSI）* 10%。</t>
  </si>
  <si>
    <t>ttfund__JANTLEH</t>
  </si>
  <si>
    <t>国联睿精选</t>
  </si>
  <si>
    <t>中证货币基金指数 ×20%+中证800指数×80%</t>
  </si>
  <si>
    <t>ttfund__JB8DOBJ</t>
  </si>
  <si>
    <t>睿精选-天天尊享</t>
  </si>
  <si>
    <t>业绩比较基准=中证货币基金指数 (代码：H11025.CSI)*20%+中证800指数（代码：000906.SH)* 80%</t>
  </si>
  <si>
    <t>ttfund__DVYYKVK</t>
  </si>
  <si>
    <t>咸蛋黄进取</t>
  </si>
  <si>
    <t>ttfund__TXT82K3</t>
  </si>
  <si>
    <t>桃李不言</t>
  </si>
  <si>
    <t>业绩比较基准=中证800*50%+中证全债*50%</t>
  </si>
  <si>
    <t>huaxia_tougu__SF1021</t>
  </si>
  <si>
    <t>80后智领未来组合</t>
  </si>
  <si>
    <t>ttfund__SF1021</t>
  </si>
  <si>
    <t>华夏80后智领未来组合</t>
  </si>
  <si>
    <t>中证800×75%+中债综合财富指数×20%+中证货币基金指数×5%</t>
  </si>
  <si>
    <t>ttfund__INJMZUS</t>
  </si>
  <si>
    <t>省心投默默赢全球尊享策略</t>
  </si>
  <si>
    <t>ttfund__VFFLXPR</t>
  </si>
  <si>
    <t>全球多元进取</t>
  </si>
  <si>
    <t>ttfund__FO2PW4C</t>
  </si>
  <si>
    <t>省心投锐盈全球尊享</t>
  </si>
  <si>
    <t>gffunds__GFJJ001236</t>
  </si>
  <si>
    <t>沪深 300 指数收益率*40%+人民币计价的 MSCI 全球指数收益率 *40%+按上海黄金交易所 Au 99.99 现货实盘合约收盘价计算的收益 率*5%+中债综合全价（总值）指数收益率*15%</t>
  </si>
  <si>
    <t>ttfund__ZBBI02E</t>
  </si>
  <si>
    <t>表韭全球资产配置</t>
  </si>
  <si>
    <t>【5%】*【中证大宗商品股票指数（000979.CSI）】+【50%】*【道琼斯工业平均指数（DJI.GI）】+【10%】*【上证红利指数（000015.SH）】+【10%】×【恒生指数（HSI.HS）】+【25%】*【中债-新综合全价（1-3年）指数（CBA00123.CSI）】</t>
  </si>
  <si>
    <t>ttfund__UCL5UFQ</t>
  </si>
  <si>
    <t>睿精选港股-天天尊享</t>
  </si>
  <si>
    <t>业绩比较基准=中证货币基金指数 (代码：H11025.CSI)*10%+中证800指数（代码：000906.SH)* 20%+恒生指数（代码：HIS.HI）*70%</t>
  </si>
  <si>
    <t>ttfund__TRPPXDI</t>
  </si>
  <si>
    <t>司南多因子成长组合</t>
  </si>
  <si>
    <t>中证500指数×90%+上证国债指数×10%</t>
  </si>
  <si>
    <t>ttfund__RIIUF7A</t>
  </si>
  <si>
    <t>十拳剑灵活配置</t>
  </si>
  <si>
    <t>中证800指数*90%+中债综合财富指数*10 %</t>
  </si>
  <si>
    <t>ttfund__6DDGUAZ</t>
  </si>
  <si>
    <t>司南多因子成长指数组合</t>
  </si>
  <si>
    <t>ttfund__OOHJCI0</t>
  </si>
  <si>
    <t>司南多因子蓝筹指数组合</t>
  </si>
  <si>
    <t>ttfund__VAO3N1Y</t>
  </si>
  <si>
    <t>永动机股票型</t>
  </si>
  <si>
    <t>中证全债指数*10%+中证800指数收益率*90%</t>
  </si>
  <si>
    <t>ttfund__9E5D4W4</t>
  </si>
  <si>
    <t>国富小争先股债平衡组合</t>
  </si>
  <si>
    <t>50%中证偏股型基金指数+ 50%中证债券型基金指数</t>
  </si>
  <si>
    <t>ttfund__7P08UFE</t>
  </si>
  <si>
    <t>交银多元资产优选</t>
  </si>
  <si>
    <t>65%×中债综合全价指数收益率+20%×中证800指数收益率+10%×上海黄金交易所Au99.99现货实盘合约收盘价收益率+5%×MSCI全球指数收益率</t>
  </si>
  <si>
    <t>ttfund__IRQKYJO</t>
  </si>
  <si>
    <t>交银多元资产优选（直销）</t>
  </si>
  <si>
    <t>业绩比较基准=65%×中债综合全价指数收益率+20%×中证800指数收益率+10%×上海黄金交易所Au99.99现货实盘合约收盘价收益率+5%×MSCI全球指数收益率</t>
  </si>
  <si>
    <t>ttfund__MEU2KRO</t>
  </si>
  <si>
    <t>长跑计划1号</t>
  </si>
  <si>
    <t>ttfund__JYFMZVY</t>
  </si>
  <si>
    <t>华泰柏瑞全球精选</t>
  </si>
  <si>
    <t>沪深300指数收益率*85%+中证综合债指数收益率*15%</t>
  </si>
  <si>
    <t>ttfund__ZFRPOGL</t>
  </si>
  <si>
    <t>司南股债进取成长组合</t>
  </si>
  <si>
    <t>中证500指数×80%+上证国债指数×20%</t>
  </si>
  <si>
    <t>ttfund__QEP4QP4</t>
  </si>
  <si>
    <t>全球优势产业</t>
  </si>
  <si>
    <t>95%*ACWI +5%*中证货币基金指数</t>
  </si>
  <si>
    <t>ttfund__SRLRIB3</t>
  </si>
  <si>
    <t>司南股债灵活组合</t>
  </si>
  <si>
    <t>中证500指数×35%+上证国债指数×65%</t>
  </si>
  <si>
    <t>ttfund__XLLWA2Z</t>
  </si>
  <si>
    <t>丰慧轮动</t>
  </si>
  <si>
    <t>ttfund__SCDUJUY</t>
  </si>
  <si>
    <t>招财猫全球进取</t>
  </si>
  <si>
    <t>55%*标普500指数收益率 +35%沪深300指数收益率 +10%中债总全价指数收益率</t>
  </si>
  <si>
    <t>ttfund__X9PUC3Y</t>
  </si>
  <si>
    <t>东财全球精选</t>
  </si>
  <si>
    <t>香港恒生指数*45%+标准普尔500指数*25%+沪深300指数*25%+中证货币基金指数*5%</t>
  </si>
  <si>
    <t>huaxia_tougu__SF1020</t>
  </si>
  <si>
    <t>70后智赢人生组合</t>
  </si>
  <si>
    <t>ttfund__UZJS1U3</t>
  </si>
  <si>
    <t>省心投曾赢全球尊享策略</t>
  </si>
  <si>
    <t>ttfund__NOWCG9Q</t>
  </si>
  <si>
    <t>司南股债灵活蓝筹组合</t>
  </si>
  <si>
    <t>沪深300指数×35%+上证国债指数×65%</t>
  </si>
  <si>
    <t>gffunds__GFJJ001261</t>
  </si>
  <si>
    <t>广发全球30甄选</t>
  </si>
  <si>
    <t>ttfund__130G7UY</t>
  </si>
  <si>
    <t>华夏全天候多元进取配置</t>
  </si>
  <si>
    <t>19%中债-新综合指数+35%中证800+35%标普500+10%中证商品期货综合指数+1%货币基金</t>
  </si>
  <si>
    <t>ttfund__TPXZRYC</t>
  </si>
  <si>
    <t>易方达平衡增长</t>
  </si>
  <si>
    <t>中证普通债券型基金指数×60%+中证偏股型基金指数×40%</t>
  </si>
  <si>
    <t>ttfund__XIOJ8QJ</t>
  </si>
  <si>
    <t>省心投步步盈2期</t>
  </si>
  <si>
    <t>ttfund__SVB9EZD</t>
  </si>
  <si>
    <t>省心投安盈全球尊享策略</t>
  </si>
  <si>
    <t>ttfund__PFBLPAH</t>
  </si>
  <si>
    <t>景顺长城全球机遇</t>
  </si>
  <si>
    <t>45%沪深300指数+45%MSCI发达市场指数+10%中证全债指数</t>
  </si>
  <si>
    <t>ttfund__UFPW1GJ</t>
  </si>
  <si>
    <t>省心投步步盈</t>
  </si>
  <si>
    <t>ttfund__8M71RJO</t>
  </si>
  <si>
    <t>博时乐添平衡</t>
  </si>
  <si>
    <t>50%*偏股基金指数+50%*纯债债基指数</t>
  </si>
  <si>
    <t>ttfund__DE8JLRD</t>
  </si>
  <si>
    <t>省心投步步盈3期</t>
  </si>
  <si>
    <t>ttfund__IF5A1JH</t>
  </si>
  <si>
    <t>ttfund__SOJLAE9</t>
  </si>
  <si>
    <t>指基多元均衡</t>
  </si>
  <si>
    <t>50%*中债总全价指数+30%*MSCI全球指数+20%*中证商品CFCI综合指数</t>
  </si>
  <si>
    <t>ttfund__Y8LMDWU</t>
  </si>
  <si>
    <t>梧桐全球优选组合</t>
  </si>
  <si>
    <t>沪深300指数*50%+恒生指数*10%+标普500指数*10%+上证国债指数*25%+货币基金指数*5%</t>
  </si>
  <si>
    <t>ttfund__KGLO6KJ</t>
  </si>
  <si>
    <t>海外股票精选</t>
  </si>
  <si>
    <t>ttfund__YLHFDV5</t>
  </si>
  <si>
    <t>AI指数增强</t>
  </si>
  <si>
    <t>95%*中证800指数收益率+5%*中证全债指数收益率</t>
  </si>
  <si>
    <t>ttfund__AFFE0NN</t>
  </si>
  <si>
    <t>易方达全球配置1号</t>
  </si>
  <si>
    <t>ttfund__Y2RIV6V</t>
  </si>
  <si>
    <t>农银丰享进取</t>
  </si>
  <si>
    <t>沪深300指数收益率*83%+中债综合全价(总值) 指数收益率*15%+中证货币基金指数收益率*2%</t>
  </si>
  <si>
    <t>ttfund__NTTJHCT</t>
  </si>
  <si>
    <t>司南股债平衡组合</t>
  </si>
  <si>
    <t>中证500指数×50%+上证国债指数×50%</t>
  </si>
  <si>
    <t>ttfund__TYCZGPE</t>
  </si>
  <si>
    <t>中欧股债黄金比例</t>
  </si>
  <si>
    <t>50%沪深300+50%中证全债</t>
  </si>
  <si>
    <t>ttfund__4JFXPN3</t>
  </si>
  <si>
    <t>省心投步步盈4期</t>
  </si>
  <si>
    <t>gffunds__GFJJ001221</t>
  </si>
  <si>
    <t>指数100份</t>
  </si>
  <si>
    <t>95*沪深 300 指数收益率+5%*中债综合全价指数收益率</t>
  </si>
  <si>
    <t>ttfund__WDQXDYE</t>
  </si>
  <si>
    <t>表韭量化指增精选</t>
  </si>
  <si>
    <t>【35%】*【中债-新综合全价（1-3年）指数（CBA00123.CSI）】+【30%】*【沪深300指数（000300.SH）】+【20%】*【上证红利指数（000015.SH）】+【5%】*【中证大宗商品股票指数（000979.CSI）】+【10%】*【恒生指数（HSI.HI）】</t>
  </si>
  <si>
    <t>ttfund__S95PUCJ</t>
  </si>
  <si>
    <t>财安盈</t>
  </si>
  <si>
    <t>中证800*10%+中债总全价(总值)指数*90%</t>
  </si>
  <si>
    <t>gffunds__GFJJ002222</t>
  </si>
  <si>
    <t>辉享全天候稳健增长</t>
  </si>
  <si>
    <t>沪深 300 指数收益率*5.5%+人民币计价的 MSCI 全球指数收益率 *5.5%+按上海黄金交易所 Au99.99 现货实盘合约收盘价计算的收益 率*9%+中债综合全价（总值）指数收益率*80%</t>
  </si>
  <si>
    <t>ttfund__DIBYB35</t>
  </si>
  <si>
    <t>小微波目标盈天天10期</t>
  </si>
  <si>
    <t>ttfund__S5LJNGU</t>
  </si>
  <si>
    <t>兴证全球优享步步高第5期（新春专享）</t>
  </si>
  <si>
    <t>中证偏股型基金指数*20%+中证全债指数*80%</t>
  </si>
  <si>
    <t>ttfund__U4JOHS1</t>
  </si>
  <si>
    <t>兴证全球优享步步高06期</t>
  </si>
  <si>
    <t>ttfund__3ZG4OHZ</t>
  </si>
  <si>
    <t>消费汉堡</t>
  </si>
  <si>
    <t>全指消费*100%</t>
  </si>
  <si>
    <t>ttfund__2GXNMMI</t>
  </si>
  <si>
    <t>国泰数字经济基金精选</t>
  </si>
  <si>
    <t>65%中证数字经济+30%沪深300+5%货币基金指数</t>
  </si>
  <si>
    <t>ttfund__N17HMRV</t>
  </si>
  <si>
    <t>兴证全球优享步步高16期</t>
  </si>
  <si>
    <t>80%中证普通债券型基金指数+20%中证偏股基金指数</t>
  </si>
  <si>
    <t>ttfund__JQSDZ0I</t>
  </si>
  <si>
    <t>兴证全球优享步步高13期</t>
  </si>
  <si>
    <t>ttfund__ZYP8M1O</t>
  </si>
  <si>
    <t>兴证全球优享步步高15期</t>
  </si>
  <si>
    <t>ttfund__FVZ1K0Z</t>
  </si>
  <si>
    <t>兴证全球优享步步高14期</t>
  </si>
  <si>
    <t>ttfund__KJ00W2Q</t>
  </si>
  <si>
    <t>磐石全球远航</t>
  </si>
  <si>
    <t>中债-总全价(总值)指数*50%
+ACWI*30%
+中证商品 CFI*20%中证货币基金指数</t>
  </si>
  <si>
    <t>ttfund__WWDFMNI</t>
  </si>
  <si>
    <t>十年优选</t>
  </si>
  <si>
    <t>中证全债指数*5%+中证800指数收益率*95%</t>
  </si>
  <si>
    <t>gffunds__GFJJ002414</t>
  </si>
  <si>
    <t>全球多元平衡尊享</t>
  </si>
  <si>
    <t>中证 800 指数收益率*15%+ 人民币计价的 MSCI 全球指数收益率 *15%+ SGE 黄金 9999 收益率*10%+中债综合全价（总值）指数收益 率*60%</t>
  </si>
  <si>
    <t>ttfund__0OQEPJT</t>
  </si>
  <si>
    <t>兴证全球优享步步高11期</t>
  </si>
  <si>
    <t>ttfund__TMQXEDB</t>
  </si>
  <si>
    <t>招商灵活进取</t>
  </si>
  <si>
    <t>中证纯债债券型基金指数*60%+中证偏股型基金指数*40%</t>
  </si>
  <si>
    <t>ttfund__7IQQTED</t>
  </si>
  <si>
    <t>兴证全球优享步步高12期</t>
  </si>
  <si>
    <t>ttfund__4UYQMFR</t>
  </si>
  <si>
    <t>省心投裕盈全球尊享策略</t>
  </si>
  <si>
    <t>ttfund__HCXERE0</t>
  </si>
  <si>
    <t>兴证全球优享步步高10期</t>
  </si>
  <si>
    <t>ttfund__ZXDP1T0</t>
  </si>
  <si>
    <t>兴证全球优享步步高09期</t>
  </si>
  <si>
    <t>ttfund__3BOSRIT</t>
  </si>
  <si>
    <t>兴证全球优享步步高07期</t>
  </si>
  <si>
    <t>ttfund__OM4ILPE</t>
  </si>
  <si>
    <t>雄霸赛道偏股</t>
  </si>
  <si>
    <t>gffunds__GFJJ001664</t>
  </si>
  <si>
    <t>广发全天候多元稳健增长</t>
  </si>
  <si>
    <t>中证 800 指数收益率*12.5%+人民币计价的 MSCI 全球指数收益 率*12.5%+按上海黄金交易所 Au 99.99 现货实盘合约收盘价计算的 收益率*10%+中债总全价（总值）指数收益率*65%</t>
  </si>
  <si>
    <t>ttfund__XUXCVMF</t>
  </si>
  <si>
    <t>兴证全球优享步步高08期</t>
  </si>
  <si>
    <t>ttfund__ZL3HUKR</t>
  </si>
  <si>
    <t>司南平均律</t>
  </si>
  <si>
    <t>国债指数*70%+沪深300*20%+大宗商品指数*10%</t>
  </si>
  <si>
    <t>ttfund__XY7G38A</t>
  </si>
  <si>
    <t>博时价值精选</t>
  </si>
  <si>
    <t>95%国证价值指数+20%货币基金指数</t>
  </si>
  <si>
    <t>ttfund__E8SR1SX</t>
  </si>
  <si>
    <t>九维狐权益</t>
  </si>
  <si>
    <t>5%*中证全债指数收益率+90%*中证800指数收益率+5%*货币基金指数收益率</t>
  </si>
  <si>
    <t>ttfund__MT62KOJ</t>
  </si>
  <si>
    <t>易方达稳健理财</t>
  </si>
  <si>
    <t>中证普通债券型基金指数×90%+中证偏股型基金指数×10%</t>
  </si>
  <si>
    <t>ttfund__BQOIQWC</t>
  </si>
  <si>
    <t>兴全低波动小幸福</t>
  </si>
  <si>
    <t>中证偏股基金指数*15%+中证普通债券基金指数*85%</t>
  </si>
  <si>
    <t>ttfund__ENPOINA</t>
  </si>
  <si>
    <t>盈添进取</t>
  </si>
  <si>
    <t>中证 800 指数收益率*90%+中债综合全价 指数收益率*10%</t>
  </si>
  <si>
    <t>ttfund__TNSNZWM</t>
  </si>
  <si>
    <t>宇宙奇兵</t>
  </si>
  <si>
    <t>ttfund__4URFCUG</t>
  </si>
  <si>
    <t>全球汉堡</t>
  </si>
  <si>
    <t>中债新综合净价(总值)指数*80%+中证800*20%</t>
  </si>
  <si>
    <t>ttfund__4JQJ3IC</t>
  </si>
  <si>
    <t>农银多资产稳健</t>
  </si>
  <si>
    <t>中证偏股型基金指数收益率*10%+中债综合全价指数收益率*81%+标普500指数收益率(经汇率调整后)*3%+上海黄金交易所AU99.99现货实盘合约收盘价收益率*3%+中证货币基金指数收益率*3%</t>
  </si>
  <si>
    <t>ttfund__06HU6E1</t>
  </si>
  <si>
    <t>麦哲伦宏观多策略</t>
  </si>
  <si>
    <t>80%*中证800指数+10%*中债总全价指数+10%*中证商品CFCI综合指数</t>
  </si>
  <si>
    <t>ttfund__GKAYXRN</t>
  </si>
  <si>
    <t>盈添安心</t>
  </si>
  <si>
    <t>中证 800 指数收益率*20%+中债综合全价 指数收益率*80%</t>
  </si>
  <si>
    <t>gffunds__GFJJ002302</t>
  </si>
  <si>
    <t>全球多元平衡</t>
  </si>
  <si>
    <t>中证 800 指数收益率*20%+ 人民币计价的 MSCI 全球指数收益率 *20%+ SGE 黄金 9999 收益率*10%+中债综合全价（总值）指数收益 率*50%</t>
  </si>
  <si>
    <t>ttfund__W6ISUDA</t>
  </si>
  <si>
    <t>砺远平衡</t>
  </si>
  <si>
    <t>沪深300指数（000300）收益率×50%+中债新综合全价（总值）指数（CBA00103）收益率×50%</t>
  </si>
  <si>
    <t>ttfund__IQVTUUF</t>
  </si>
  <si>
    <t>广发带你投医药</t>
  </si>
  <si>
    <t>中证医药指数收益率*95%+中债综合全价（总值）指数收益率*5%</t>
  </si>
  <si>
    <t>gffunds__GFJJ001501</t>
  </si>
  <si>
    <t>全球多元稳健增长</t>
  </si>
  <si>
    <t>中证 800 指数收益率*12.5%+ 人民币计价的 MSCI 全球指数收益 率*12.5%+ SGE 黄金 9999 收益率*5%+中债综合全价（总值）指数收 益率*70%</t>
  </si>
  <si>
    <t>ttfund__9UJLNUA</t>
  </si>
  <si>
    <t>全球固收+</t>
  </si>
  <si>
    <t>80%*H11009(中证综合债指数)+20%*000906(中证800）</t>
  </si>
  <si>
    <t>ttfund__AYVXSHV</t>
  </si>
  <si>
    <t>表韭固收加精选</t>
  </si>
  <si>
    <t>【75%】*【中债-新综合全价（1-3年）指数（CBA00123.CSI）】 +【15%】*【沪深300指数（000300.SH）】+【5%】*【上证红利指数（000015.SH）】+【2%】*【道琼斯工业平均指数（DJI.GI）】+【3%】*【中证大宗商品股票指数（000979.CSI）】</t>
  </si>
  <si>
    <t>ttfund__ZUYS1HU</t>
  </si>
  <si>
    <t>省心投配置宝</t>
  </si>
  <si>
    <t>ttfund__AILVXKB</t>
  </si>
  <si>
    <t>嘉实百灵全天候</t>
  </si>
  <si>
    <t>85%中债新综合指数+15%中证800指数</t>
  </si>
  <si>
    <t>ttfund__FP14LGN</t>
  </si>
  <si>
    <t>司南绝对收益组合</t>
  </si>
  <si>
    <t>沪深300指数×10%+中证企业债指数×90%</t>
  </si>
  <si>
    <t>ttfund__0IEECYL</t>
  </si>
  <si>
    <t>稳如泰山</t>
  </si>
  <si>
    <t>ttfund__FMHW2AK</t>
  </si>
  <si>
    <t>牛二十精选</t>
  </si>
  <si>
    <t>ttfund__TL20OXV</t>
  </si>
  <si>
    <t>富国多元低波目标盈</t>
  </si>
  <si>
    <t>85%中债综合全价指数收益率+5%上海黄金交易所AU99.99收益率+5%中证800指数收益率+5%纳斯达克100指数收益率</t>
  </si>
  <si>
    <t>gffunds__GFJJ001222</t>
  </si>
  <si>
    <t>全球多元稳健</t>
  </si>
  <si>
    <t>沪深 300 指数收益率*8.5%+人民币计价的 MSCI 全球指数收益率 *8.5%+按上海黄金交易所 Au 99.99 现货实盘合约收盘价计算的收益 率*3%+中债综合全价（总值）指数收益率*80%</t>
  </si>
  <si>
    <t>ttfund__Z1D7TIS</t>
  </si>
  <si>
    <t>ttfund__MY1U1JE</t>
  </si>
  <si>
    <t>省心科技优选</t>
  </si>
  <si>
    <t>95.0%*中证科技100指数
+5.0%*中证货币基金指数</t>
  </si>
  <si>
    <t>ttfund__0UYVY3Z</t>
  </si>
  <si>
    <t>三足鼎立</t>
  </si>
  <si>
    <t>ttfund__QXL1U5W</t>
  </si>
  <si>
    <t>司南股债平衡蓝筹组合</t>
  </si>
  <si>
    <t>沪深300指数×50%+上证国债指数×50%</t>
  </si>
  <si>
    <t>ttfund__ONW1BWO</t>
  </si>
  <si>
    <t>兴全多元收益</t>
  </si>
  <si>
    <t>ttfund__8FXLDPK</t>
  </si>
  <si>
    <t>万家非凡稳享全天候</t>
  </si>
  <si>
    <t>80%*中债新综合全价(总值)指数+10%*中证800指数+6%*南华商品指数+4%*标普500指数</t>
  </si>
  <si>
    <t>ttfund__9L7OPLP</t>
  </si>
  <si>
    <t>月宝指数</t>
  </si>
  <si>
    <t>75%*中证800指数收益率+ 15%*中证全债指数收益率 +10%*货币基金指数收益率</t>
  </si>
  <si>
    <t>ttfund__AJKFK06</t>
  </si>
  <si>
    <t>司南安鑫一号(第10期)</t>
  </si>
  <si>
    <t>ttfund__JTEPK8E</t>
  </si>
  <si>
    <t>司南安鑫一号(第08期)</t>
  </si>
  <si>
    <t>ttfund__UCGO0WB</t>
  </si>
  <si>
    <t>司南安鑫一号(第07期)</t>
  </si>
  <si>
    <t>ttfund__X3G9J3L</t>
  </si>
  <si>
    <t>司南安鑫一号(第09期)</t>
  </si>
  <si>
    <t>ttfund__GKC0SMH</t>
  </si>
  <si>
    <t>万家安鑫全球投</t>
  </si>
  <si>
    <t>55%*中债-综合财富指数（1-3年）+25%*中证800+20%*纳斯达克100指数</t>
  </si>
  <si>
    <t>ttfund__3LMKEMM</t>
  </si>
  <si>
    <t>司南绝对收益稳健组合</t>
  </si>
  <si>
    <t>沪深300指数×5%+中证企业债指数×95%</t>
  </si>
  <si>
    <t>ttfund__A3BTEVU</t>
  </si>
  <si>
    <t>司南股债稳健蓝筹组合</t>
  </si>
  <si>
    <t>沪深300指数×20%+上证国债指数×80%</t>
  </si>
  <si>
    <t>ttfund__QFTTBAD</t>
  </si>
  <si>
    <t>司南股债稳健组合</t>
  </si>
  <si>
    <t>中证500指数×20%+上证国债指数×80%</t>
  </si>
  <si>
    <t>ttfund__Q5PCSHJ</t>
  </si>
  <si>
    <t>十拳剑超稳星</t>
  </si>
  <si>
    <t>中债综合财富指数*100%</t>
  </si>
  <si>
    <t>ttfund__10U9IPJ</t>
  </si>
  <si>
    <t>司南安鑫一号(第15期)</t>
  </si>
  <si>
    <t>ttfund__1ADGYE7</t>
  </si>
  <si>
    <t>司南安鑫一号(第17期)</t>
  </si>
  <si>
    <t>ttfund__1EXSG0P</t>
  </si>
  <si>
    <t>司南安鑫一号(第14期)</t>
  </si>
  <si>
    <t>ttfund__3GDYXUI</t>
  </si>
  <si>
    <t>司南安鑫一号(第12期)</t>
  </si>
  <si>
    <t>ttfund__6SRWJDN</t>
  </si>
  <si>
    <t>司南安鑫一号(第13期)</t>
  </si>
  <si>
    <t>ttfund__AIJXWP5</t>
  </si>
  <si>
    <t>司南安鑫一号(第18期)</t>
  </si>
  <si>
    <t>ttfund__C6FAILB</t>
  </si>
  <si>
    <t>司南安鑫一号(第11期)</t>
  </si>
  <si>
    <t>ttfund__DEL9XBW</t>
  </si>
  <si>
    <t>司南安鑫一号(第19期)</t>
  </si>
  <si>
    <t>ttfund__MRWGY6N</t>
  </si>
  <si>
    <t>司南安鑫一号(第16期)</t>
  </si>
  <si>
    <t>ttfund__O5YDO1C</t>
  </si>
  <si>
    <t>司南安鑫一号(第06期）</t>
  </si>
  <si>
    <t>ttfund__L2RLC6M</t>
  </si>
  <si>
    <t>稳健有妮</t>
  </si>
  <si>
    <t>中债-总全价(总值)指数*55%
+中证800指数*25%
+中证商品 CFI*20%</t>
  </si>
  <si>
    <t>gffunds__GFJJ001665</t>
  </si>
  <si>
    <t>广发全天候多元稳健</t>
  </si>
  <si>
    <t>中证 800 指数收益率*7%+人民币计价的 MSCI 全球指数收益率 *7%+按上海黄金交易所 Au 99.99 现货实盘合约收盘价计算的收益率 *10%+中债总全价（总值）指数收益率*76%</t>
  </si>
  <si>
    <t>ttfund__QP9JKF4</t>
  </si>
  <si>
    <t>民生加银配置加分组合</t>
  </si>
  <si>
    <t>中证偏股型基金指数*45%+中债综合指数*55%</t>
  </si>
  <si>
    <t>gffunds__GFJJ001502</t>
  </si>
  <si>
    <t>智选理财Plus</t>
  </si>
  <si>
    <t>中证 800 指数收益率*5%+ 人民币计价的 MSCI 全球指数收益率 *5%+ SGE 黄金 9999 收益率*3%+中债综合全价（总值）指数收益率 *87%</t>
  </si>
  <si>
    <t>ttfund__HAFXB8E</t>
  </si>
  <si>
    <t>丰慧百万计划2号</t>
  </si>
  <si>
    <t>ttfund__G7RDSWZ</t>
  </si>
  <si>
    <t>5%*沪深300+95%*中债综合全价（总值）指数</t>
  </si>
  <si>
    <t>ttfund__JJIQOQR</t>
  </si>
  <si>
    <t>华夏全天候多元稳健配置</t>
  </si>
  <si>
    <t>70%中债-新综合指数+12%中证800+12%标普500+5%中证商品期货综合指数+1%货币基金</t>
  </si>
  <si>
    <t>ttfund__USHX03Y</t>
  </si>
  <si>
    <t>永续型目标盈（测试）</t>
  </si>
  <si>
    <t>5%中证800指数+6%MSCI全球指数+11%南华商品指数+75%中证纯债债基指数+3%中证货币基金指数</t>
  </si>
  <si>
    <t>ttfund__SF1019</t>
  </si>
  <si>
    <t>华夏60后智享财富组合</t>
  </si>
  <si>
    <t>中证800×24%+中债综合财富指数×71%+中证货币基金指数×5%</t>
  </si>
  <si>
    <t>huaxia_tougu__SF1019</t>
  </si>
  <si>
    <t>60后智享财富组合</t>
  </si>
  <si>
    <t>ttfund__DBF794A</t>
  </si>
  <si>
    <t>尊享添盈小目标第6期</t>
  </si>
  <si>
    <t>ttfund__H0TYDMW</t>
  </si>
  <si>
    <t>尊享添盈小目标第5期</t>
  </si>
  <si>
    <t>ttfund__FWG0GUW</t>
  </si>
  <si>
    <t>尊享添盈小目标第7期</t>
  </si>
  <si>
    <t>ttfund__TPT71SN</t>
  </si>
  <si>
    <t>尊享添盈小目标第10期</t>
  </si>
  <si>
    <t>ttfund__4HUBW1E</t>
  </si>
  <si>
    <t>尊享添盈小目标第4期</t>
  </si>
  <si>
    <t>ttfund__BJNPH15</t>
  </si>
  <si>
    <t>尊享添盈小目标第9期</t>
  </si>
  <si>
    <t>ttfund__FV7ASQT</t>
  </si>
  <si>
    <t>平衡宝</t>
  </si>
  <si>
    <t>50%*H11009（中证综合债指数）+50%*000906(中证800)</t>
  </si>
  <si>
    <t>ttfund__4Y20QIY</t>
  </si>
  <si>
    <t>8%*沪深300+92%*中债综合全价（总值）指数</t>
  </si>
  <si>
    <t>huaxia_tougu__SF10LE</t>
  </si>
  <si>
    <t>小常乐目标盈059期（全球版）</t>
  </si>
  <si>
    <t>gffunds__GFJJ001482</t>
  </si>
  <si>
    <t>南海定制1号</t>
  </si>
  <si>
    <t>ttfund__WR8T4KO</t>
  </si>
  <si>
    <t>富国七星高照尊享版</t>
  </si>
  <si>
    <t>中债综合全价指数收益率*60%+中证800指数收益率*8%+恒生指数收益率*7%+纳斯达克100指数收益率*10%+上海黄金交易所AU99.99收益率*10%+货币市场基金指数收益率*5%</t>
  </si>
  <si>
    <t>ttfund__SP2GCIE</t>
  </si>
  <si>
    <t>尊享添盈小目标</t>
  </si>
  <si>
    <t>ttfund__VRN0DXY</t>
  </si>
  <si>
    <t>尊享添盈小目标第15期</t>
  </si>
  <si>
    <t>ttfund__GGHVLYL</t>
  </si>
  <si>
    <t>和光无锋</t>
  </si>
  <si>
    <t>中证全债指数收益率*75%+沪深300指数收益率*25%</t>
  </si>
  <si>
    <t>ttfund__TJSVDLC</t>
  </si>
  <si>
    <t>尊享添盈小目标第3期</t>
  </si>
  <si>
    <t>ttfund__MMEM5BO</t>
  </si>
  <si>
    <t>交银全球配置（直销）</t>
  </si>
  <si>
    <t>业绩比较基准=中债综合全价指数*55%+MSCI全球指数*15%+SGE 黄金 9999*15%+中证800指数*15%</t>
  </si>
  <si>
    <t>gffunds__GFJJ002221</t>
  </si>
  <si>
    <t>南海定制2号</t>
  </si>
  <si>
    <t>ttfund__6MMD0AI</t>
  </si>
  <si>
    <t>富国多元目标盈02期</t>
  </si>
  <si>
    <t>ttfund__C2HW45S</t>
  </si>
  <si>
    <t>富国多元目标盈01期</t>
  </si>
  <si>
    <t>ttfund__Q4RE9LT</t>
  </si>
  <si>
    <t>交银全球配置</t>
  </si>
  <si>
    <t>中债综合全价指数*55%+MSCI全球指数*15%+SGE黄金9999*15%+中证800指数*15%</t>
  </si>
  <si>
    <t>ttfund__HVOY9NU</t>
  </si>
  <si>
    <t>司南全球稳健</t>
  </si>
  <si>
    <t>ttfund__ES9HSK8</t>
  </si>
  <si>
    <t>国泰目标盈07期</t>
  </si>
  <si>
    <t>ttfund__SF1015</t>
  </si>
  <si>
    <t>华夏固收增强组合</t>
  </si>
  <si>
    <t>中证800×20%+中债综合财富指数×80%</t>
  </si>
  <si>
    <t>ttfund__ZUUTKTY</t>
  </si>
  <si>
    <t>尊享添盈小目标第13期</t>
  </si>
  <si>
    <t>huaxia_tougu__SF1015</t>
  </si>
  <si>
    <t>ttfund__3TDWVRT</t>
  </si>
  <si>
    <t>尊享添盈小目标第14期</t>
  </si>
  <si>
    <t>ttfund__ZWQLWLB</t>
  </si>
  <si>
    <t>多元稳钱宝</t>
  </si>
  <si>
    <t>不设置业绩比较基准</t>
  </si>
  <si>
    <t>ttfund__FGNY3LQ</t>
  </si>
  <si>
    <t>司南多资产稳健配置组合</t>
  </si>
  <si>
    <t>ttfund__LRJCZ7S</t>
  </si>
  <si>
    <t>广发纯债甄选</t>
  </si>
  <si>
    <t>ttfund__MZN5JAD</t>
  </si>
  <si>
    <t>养老补充计划</t>
  </si>
  <si>
    <t>沪深300指数(000300)*25%+标普500指数（SPX）*20%+上海黄金9999（AU9999）*5%+中债-总指数(全价)指数（CBA00303）*50%</t>
  </si>
  <si>
    <t>gffunds__GFJJ001326</t>
  </si>
  <si>
    <t>ttfund__ZI62B79</t>
  </si>
  <si>
    <t>尊享多元配置01期</t>
  </si>
  <si>
    <t>ttfund__PRZMUXK</t>
  </si>
  <si>
    <t>尊享多元配置02期</t>
  </si>
  <si>
    <t>ttfund__BKIYYNI</t>
  </si>
  <si>
    <t>富国七星高照目标盈</t>
  </si>
  <si>
    <t>ttfund__WFXTRZR</t>
  </si>
  <si>
    <t>富国七星高照多资产配置</t>
  </si>
  <si>
    <t>ttfund__MS6ZS82</t>
  </si>
  <si>
    <t>稳航优选</t>
  </si>
  <si>
    <t>45%中债总全价指数+30%沪深300指数+25%中证商品CFI指数</t>
  </si>
  <si>
    <t>gffunds__GFJJ002101</t>
  </si>
  <si>
    <t>幸福小心愿Pro目标盈</t>
  </si>
  <si>
    <t>沪深 300 指数收益率*10%+SGE 黄金 9999 收益率*5%+人民币计价的 MSCI 全球指数收益率*5%+中债综合全价（总值）指数收益率*80%</t>
  </si>
  <si>
    <t>ttfund__9FOYOUL</t>
  </si>
  <si>
    <t>安平锐进</t>
  </si>
  <si>
    <t>中证800指数*80%+中债-总全价(总值)指数*10%+中证商品 CFI*10%</t>
  </si>
  <si>
    <t>ttfund__DGV1C4Y</t>
  </si>
  <si>
    <t>尊享多元配置06期</t>
  </si>
  <si>
    <t>ttfund__XMJTD2L</t>
  </si>
  <si>
    <t>尊享多元配置05期</t>
  </si>
  <si>
    <t>ttfund__JXWYUAF</t>
  </si>
  <si>
    <t>步步盈</t>
  </si>
  <si>
    <t>80%* H11015（中证短债指数）+20%*H11009 (中证综合债指数)</t>
  </si>
  <si>
    <t>ttfund__L4QXGQ1</t>
  </si>
  <si>
    <t>中欧多元稳健</t>
  </si>
  <si>
    <t>中证800指数×4%+南华商品指数×4%+MSCI全球指数×4.5%+中证纯债债券型基金指数×85%+中证货币基金指数×2.5%</t>
  </si>
  <si>
    <t>ttfund__PYSFDZR</t>
  </si>
  <si>
    <t>尊享添盈小目标第8期</t>
  </si>
  <si>
    <t>ttfund__QCYKCA2</t>
  </si>
  <si>
    <t>添富稳健全球</t>
  </si>
  <si>
    <t>中证800指数收益率*5%+标普500指数收益率（使用估值汇率折算）*5%+上海黄金交易所AU99.99收益率*5%+中债综合指数收益率*85%</t>
  </si>
  <si>
    <t>ttfund__0YTHP0U</t>
  </si>
  <si>
    <t>尊享多元配置04期</t>
  </si>
  <si>
    <t>ttfund__TTAFL1U</t>
  </si>
  <si>
    <t>尊享多元配置03期</t>
  </si>
  <si>
    <t>ttfund__QZOUV3Q</t>
  </si>
  <si>
    <t>金鳌多资产轮动100份</t>
  </si>
  <si>
    <t>沪深300 * 15% + 恒生科技*15% + 纳指100*25% + 中债-新综合指数*30% + AU9999*15%</t>
  </si>
  <si>
    <t>ttfund__SIWGVYM</t>
  </si>
  <si>
    <t>金鲲指数轮动100份</t>
  </si>
  <si>
    <t>沪深300指数*100%</t>
  </si>
  <si>
    <t>ttfund__CNA9RKB</t>
  </si>
  <si>
    <t>尊享520小目标第2期</t>
  </si>
  <si>
    <t>ttfund__KFI0WG0</t>
  </si>
  <si>
    <t>幸福低波小目标plus</t>
  </si>
  <si>
    <t>中证纯债债券型基金指数（930609.CSI） 收益率× 93%+沪深300 指数（000300.SH） 收益率× 7%</t>
  </si>
  <si>
    <t>ttfund__ZPQ5UAL</t>
  </si>
  <si>
    <t>尊享520小目标第1期</t>
  </si>
  <si>
    <t>ttfund__IEB54NN</t>
  </si>
  <si>
    <t>多元稳健配置策略</t>
  </si>
  <si>
    <t>ttfund__JSSURNT</t>
  </si>
  <si>
    <t>全球精选</t>
  </si>
  <si>
    <t>60%*000906(中证800)+ 15%*HSI（恒生指数）+15%*SPX（标普500指数）+10%*H11009（中证综合债指数）</t>
  </si>
  <si>
    <t>ttfund__V3NPGGK</t>
  </si>
  <si>
    <t>尊享财富启航计划</t>
  </si>
  <si>
    <t>55%中证纯债债券型基金指数+35%中证 800指数+10%南华商品指数</t>
  </si>
  <si>
    <t>ttfund__GBPNYBY</t>
  </si>
  <si>
    <t>中欧均衡偏债全明星</t>
  </si>
  <si>
    <t>ttfund__QOU1RYF</t>
  </si>
  <si>
    <t>ttfund__QQOPXC3</t>
  </si>
  <si>
    <t>司南全球债</t>
  </si>
  <si>
    <t>中债-综合全价指数*100%</t>
  </si>
  <si>
    <t>ttfund__X5AHNCD</t>
  </si>
  <si>
    <t>招商消费掘金</t>
  </si>
  <si>
    <t>中证货币基金指数收益率*5%+全指消费指数收益率*95%。</t>
  </si>
  <si>
    <t>ttfund__YY75W8Z</t>
  </si>
  <si>
    <t>中欧稳健全天候-目标盈</t>
  </si>
  <si>
    <t>ttfund__BTAQW7H</t>
  </si>
  <si>
    <t>多资产稳健指数组合</t>
  </si>
  <si>
    <t>ttfund__SX1CRWN</t>
  </si>
  <si>
    <t>万家非凡智汇选基100份</t>
  </si>
  <si>
    <t>90%*中证偏股型基金指数+10%*中债-综合指数(全价)</t>
  </si>
  <si>
    <t>huaxia_tougu__SF1060</t>
  </si>
  <si>
    <t>安心宝</t>
  </si>
  <si>
    <t>ttfund__0JWUP4C</t>
  </si>
  <si>
    <t>若水主动</t>
  </si>
  <si>
    <t>业绩比较基准=中证800*80%+中证全债*20%</t>
  </si>
  <si>
    <t>ttfund__TIISSUK</t>
  </si>
  <si>
    <t>家里有矿</t>
  </si>
  <si>
    <t>中证商品 CFI*100%</t>
  </si>
  <si>
    <t>ttfund__ZKFN9NQ</t>
  </si>
  <si>
    <t>中欧指数先锋</t>
  </si>
  <si>
    <t>中证800指数收益率× 95%+货币基金指数收益率× 5%</t>
  </si>
  <si>
    <t>ttfund__V5EUKMN</t>
  </si>
  <si>
    <t>固若金汤</t>
  </si>
  <si>
    <t>ttfund__0XFW4DW</t>
  </si>
  <si>
    <t>季季红固收加</t>
  </si>
  <si>
    <t>业绩比较基准=偏股基金*15%+中证全债*85%</t>
  </si>
  <si>
    <t>ttfund__RPIRIAF</t>
  </si>
  <si>
    <t>华泰柏瑞全天候</t>
  </si>
  <si>
    <t>15%*中证A股指数+85%*中证综合债指数</t>
  </si>
  <si>
    <t>ttfund__7FFW3XD</t>
  </si>
  <si>
    <t>国泰平衡更甜蜜</t>
  </si>
  <si>
    <t>沪深300指数收益率*50%+中证全债指数收益率*50%</t>
  </si>
  <si>
    <t>huaxia_tougu__SF10LG</t>
  </si>
  <si>
    <t>小常乐目标盈061期（全球版）</t>
  </si>
  <si>
    <t>ttfund__SDTLY3H</t>
  </si>
  <si>
    <t>尊享添盈小目标第11期</t>
  </si>
  <si>
    <t>ttfund__AYHI0VG</t>
  </si>
  <si>
    <t>兴证全球优享步步高第4期</t>
  </si>
  <si>
    <t>ttfund__MWPGKTS</t>
  </si>
  <si>
    <t>兴证全球优享步步高02期</t>
  </si>
  <si>
    <t>ttfund__NABKOWO</t>
  </si>
  <si>
    <t>兴证全球优享步步高01期</t>
  </si>
  <si>
    <t>ttfund__QLGNCBF</t>
  </si>
  <si>
    <t>银华天玑-小星愿目标盈01期</t>
  </si>
  <si>
    <t>ttfund__SCWXUPR</t>
  </si>
  <si>
    <t>兴证全球优享步步高第3期</t>
  </si>
  <si>
    <t>ttfund__CAAHUQU</t>
  </si>
  <si>
    <t>幸福全天候小目标01期</t>
  </si>
  <si>
    <t>7%中证800指数+16%南华商品指数+9%MSCI全球指数+65%中证纯债债券型基金指数+3%中证货币基金指数</t>
  </si>
  <si>
    <t>ttfund__7WGOB5I</t>
  </si>
  <si>
    <t>尊享多元进取01期</t>
  </si>
  <si>
    <t>20%中证800指数+10%MSCI全球指数+20%南华商品指数+48%中证纯债债基指数+2%中证货币基金指数</t>
  </si>
  <si>
    <t>ttfund__PJBXR7V</t>
  </si>
  <si>
    <t>尊享多元进取02期</t>
  </si>
  <si>
    <t>ttfund__ZZP9SG5</t>
  </si>
  <si>
    <t>财星选全球配</t>
  </si>
  <si>
    <t>沪深300指数*95%+中债财富总指数*5%</t>
  </si>
  <si>
    <t>ttfund__KZ2UUG9</t>
  </si>
  <si>
    <t>时光旅行者</t>
  </si>
  <si>
    <t>30%中证红利指数收益率 +30%标普500指数收益率 +30%南华商品指数收益率 +10%货币基金指数收益率</t>
  </si>
  <si>
    <t>ttfund__IJO91I8</t>
  </si>
  <si>
    <t>尊享多元进取04期</t>
  </si>
  <si>
    <t>ttfund__PJVPQ9F</t>
  </si>
  <si>
    <t>博时乐添平衡低波</t>
  </si>
  <si>
    <t>30%中证偏股基金指数+70%中证纯债债基指数</t>
  </si>
  <si>
    <t>ttfund__MYVG95V</t>
  </si>
  <si>
    <t>中欧多元配置</t>
  </si>
  <si>
    <t>ttfund__I2W0RWV</t>
  </si>
  <si>
    <t>华夏小微波组合</t>
  </si>
  <si>
    <t>中证800*5%+中证短债*95%</t>
  </si>
  <si>
    <t>ttfund__ZYS7M8J</t>
  </si>
  <si>
    <t>价投未来</t>
  </si>
  <si>
    <t>ttfund__VBKVYGJ</t>
  </si>
  <si>
    <t>银华天玑-暖暖巨蟹座</t>
  </si>
  <si>
    <t>业绩比较基准=沪深300*20%+中证国债指数*80%</t>
  </si>
  <si>
    <t>ttfund__D2QELI7</t>
  </si>
  <si>
    <t>稳稳进</t>
  </si>
  <si>
    <t>中债-新综合全价(1-3年)指数*85%+沪深300指数*10%+中证货币基金指数*5%</t>
  </si>
  <si>
    <t>ttfund__Q2EYTS6</t>
  </si>
  <si>
    <t>小常乐目标盈天天47期</t>
  </si>
  <si>
    <t>ttfund__UYX8HQC</t>
  </si>
  <si>
    <t>全球债券通</t>
  </si>
  <si>
    <t>ttfund__BBUCVSF</t>
  </si>
  <si>
    <t>尊享多元进取03期</t>
  </si>
  <si>
    <t>ttfund__K35RDR8</t>
  </si>
  <si>
    <t>华夏心想计划</t>
  </si>
  <si>
    <t>12%*000906(中证800)+88%*CBA00201（中债综合财富）</t>
  </si>
  <si>
    <t>ttfund__HUGZNNT</t>
  </si>
  <si>
    <t>招财猫绝对收益</t>
  </si>
  <si>
    <t>80%*中债总全价指数收益率 +20%*中证800指数收益率</t>
  </si>
  <si>
    <t>ttfund__IT1SMVP</t>
  </si>
  <si>
    <t>省心投幸福稳稳</t>
  </si>
  <si>
    <t>中债-新综合全价（1-3年）指数*100%</t>
  </si>
  <si>
    <t>ttfund__UZ5TJ0P</t>
  </si>
  <si>
    <t>多利宝</t>
  </si>
  <si>
    <t>85%*中债总全价+10%*沪深300指数+5%*中证货币基金指数</t>
  </si>
  <si>
    <t>ttfund__KCUPQIY</t>
  </si>
  <si>
    <t>安平稳进</t>
  </si>
  <si>
    <t>70%*中债-总全价指数+30%*中证800指数</t>
  </si>
  <si>
    <t>ttfund__CV2DGGP</t>
  </si>
  <si>
    <t>尊享多元配置08期</t>
  </si>
  <si>
    <t>ttfund__NMWUEUX</t>
  </si>
  <si>
    <t>全天候-永久投资策略</t>
  </si>
  <si>
    <t>50%*中债总全价指数+25%*中证商品 CFI+25%*中证全指</t>
  </si>
  <si>
    <t>ttfund__YZ9E10P</t>
  </si>
  <si>
    <t>价投储蓄罐</t>
  </si>
  <si>
    <t>ttfund__JTCFJON</t>
  </si>
  <si>
    <t>黑马增益宝</t>
  </si>
  <si>
    <t>ttfund__KN1DOPZ</t>
  </si>
  <si>
    <t>幸福全天候小目标02期</t>
  </si>
  <si>
    <t>ttfund__GPARA2O</t>
  </si>
  <si>
    <t>全球多元均衡</t>
  </si>
  <si>
    <t>35%沪深300+25%标准普尔500指数+40%中债总全价(总值)指数</t>
  </si>
  <si>
    <t>ttfund__PJSIHVC</t>
  </si>
  <si>
    <t>huaxia_tougu__SF10LD</t>
  </si>
  <si>
    <t>小常乐目标盈058期（多元版）</t>
  </si>
  <si>
    <t>huaxia_tougu__SF10LF</t>
  </si>
  <si>
    <t>小常乐目标盈060期（多元版）</t>
  </si>
  <si>
    <t>ttfund__NJTPUQZ</t>
  </si>
  <si>
    <t>全球平衡精选</t>
  </si>
  <si>
    <t>ttfund__HRR7BIY</t>
  </si>
  <si>
    <t>稳定生财</t>
  </si>
  <si>
    <t>ttfund__M0AXQ3L</t>
  </si>
  <si>
    <t>尊享多元配置07期</t>
  </si>
  <si>
    <t>ttfund__M2MB780</t>
  </si>
  <si>
    <t>智道AI积极型</t>
  </si>
  <si>
    <t>65%*中证全债指数收益率+30%*中证800指数收益率+5%黄金9999指数收益率</t>
  </si>
  <si>
    <t>ttfund__GL6MVNU</t>
  </si>
  <si>
    <t>幸福全天候小目标</t>
  </si>
  <si>
    <t>ttfund__B6UNU1E</t>
  </si>
  <si>
    <t>中欧多元全天候</t>
  </si>
  <si>
    <t>中证800指数×7%+南华商品指数×16%+MSCI全球指数×9%+中证纯债债券型基金指数×65%+中证货币基金指数×3%</t>
  </si>
  <si>
    <t>ttfund__F6C4IMP</t>
  </si>
  <si>
    <t>银华天玑-全球固收+</t>
  </si>
  <si>
    <t>ttfund__JMSRV7B</t>
  </si>
  <si>
    <t>智道AI进取型</t>
  </si>
  <si>
    <t>65%*中证800指数收益率+25%*中证全债指数收益率+5%黄金9999指数收益率 +5%货币基金指数收益率</t>
  </si>
  <si>
    <t>ttfund__DMBCZET</t>
  </si>
  <si>
    <t>马哥价值投基长盈组合</t>
  </si>
  <si>
    <t>中债-总全价(总值)指数*50%
+中证全指指数*25%
+中证商品 CFI*25%</t>
  </si>
  <si>
    <t>ttfund__BIZZDMM</t>
  </si>
  <si>
    <t>中欧私享多元均衡</t>
  </si>
  <si>
    <t>20%中证800指数+20%南华商品指数+10%MSCI全球指数+48%中证纯债债基指数+2%中证货币基金指数</t>
  </si>
  <si>
    <t>ttfund__UYCZPCD</t>
  </si>
  <si>
    <t>ttfund__XQUM09A</t>
  </si>
  <si>
    <t>中欧多元进取</t>
  </si>
  <si>
    <t>ttfund__UXXBKEZ</t>
  </si>
  <si>
    <t>国泰中特估基金精选</t>
  </si>
  <si>
    <t>65%中证央企+30%沪深300+5%货币基金指数</t>
  </si>
  <si>
    <t>ttfund__PZYDNQF</t>
  </si>
  <si>
    <t>永久组合</t>
  </si>
  <si>
    <t>ttfund__QZ7HSD6</t>
  </si>
  <si>
    <t>国泰目标盈04期</t>
  </si>
  <si>
    <t>gffunds__GFJJ001422</t>
  </si>
  <si>
    <t>广发全球债券30甄选组合</t>
  </si>
  <si>
    <t>彭博巴克莱全球综合指数 80%+中债综合全价*20%</t>
  </si>
  <si>
    <t>ttfund__HQZRIIB</t>
  </si>
  <si>
    <t>带你投全球债</t>
  </si>
  <si>
    <t>ttfund__QNAIOKY</t>
  </si>
  <si>
    <t>财安宁</t>
  </si>
  <si>
    <t>中债新综合财富（一年以下）指数收益率*100%</t>
  </si>
  <si>
    <t>ttfund__6GN48J5</t>
  </si>
  <si>
    <t>国泰进取群星荟</t>
  </si>
  <si>
    <t>沪深300指数收益率*80%+中证全债指数收益率*20%</t>
  </si>
  <si>
    <t>ttfund__DV05MJS</t>
  </si>
  <si>
    <t>国泰闲钱稳步走</t>
  </si>
  <si>
    <t>沪深300指数收益率*20%+中证全债指数收益率*80%</t>
  </si>
  <si>
    <t>ttfund__C84SUFB</t>
  </si>
  <si>
    <t>银华天玑-奔跑狮子座</t>
  </si>
  <si>
    <t>沪深300*95%+中证国债指数*5%</t>
  </si>
  <si>
    <t>ttfund__RZSXVTB</t>
  </si>
  <si>
    <t>业绩比较基准=沪深300*95%+中证国债指数*5%</t>
  </si>
  <si>
    <t>ttfund__3EZFMT7</t>
  </si>
  <si>
    <t>全球多资产</t>
  </si>
  <si>
    <t>ttfund__OFNMVBE</t>
  </si>
  <si>
    <t>尊享多元进取06期</t>
  </si>
  <si>
    <t>ttfund__ZL0GPL0</t>
  </si>
  <si>
    <t>尊享多元进取05期</t>
  </si>
  <si>
    <t>huaxia_tougu__SF1067</t>
  </si>
  <si>
    <t>价值精选组合</t>
  </si>
  <si>
    <t>ttfund__XPB10ZJ</t>
  </si>
  <si>
    <t>享红利</t>
  </si>
  <si>
    <t>60%中证红利指数+30%中债-综合指数(全价)+10%中证货币市场基金指数</t>
  </si>
  <si>
    <t>ttfund__4PYO86B</t>
  </si>
  <si>
    <t>司南全球多元精选</t>
  </si>
  <si>
    <t>上周A股主要指数整体调整。万得全A周跌幅-1.44%，深证成指周跌幅-2.29%，上证指数周涨0.09%，沪深300周跌幅-0.82%。全市场成交额达13.95万亿元，日均成交约2.79万亿元。近期市场出现各类资产同步涨跌的情况。在一些时期，市场被同一个宏观变量暂时接管会导致一些大类资产短期相关性上升，这是市场压力期很常见的现象。目前多资产策略仍然有效，但需要注意聚焦风险来源高度分散的资产</t>
  </si>
  <si>
    <t>ttfund__UHXS9XD</t>
  </si>
  <si>
    <t>ttfund__XQEZKVT</t>
  </si>
  <si>
    <t>安心汉堡</t>
  </si>
  <si>
    <t>中债综合全价(总值)指数*100%</t>
  </si>
  <si>
    <t>zocaifu__8100000889</t>
  </si>
  <si>
    <t>中欧全球大宗商品</t>
  </si>
  <si>
    <t>上海金现货（SHAU.SGE）*30%+上期所有色金属期货（IMCI.SHF）*20%+大商所豆粕期货（DCESMFI.DCE）*10%+郑商所能源化工期货（000201.CZC）*10%+纯债债基（930609.CSI）*30%</t>
  </si>
  <si>
    <t>ttfund__QIDD6LN</t>
  </si>
  <si>
    <t>30%上海金现货+20%上期所有色金属期货+10%大商所豆粕期货+10%郑商所能源化工期货+30%纯债债基</t>
  </si>
  <si>
    <t>ttfund__X6MZKOX</t>
  </si>
  <si>
    <t>小牛慢跑</t>
  </si>
  <si>
    <t>95%*中证全指收益率+5%*货币基金指数收益率</t>
  </si>
  <si>
    <t>ttfund__852XEBX</t>
  </si>
  <si>
    <t>星辰成长</t>
  </si>
  <si>
    <t>80%*中证800指数收益率 +20%*中债总全价指数收益率</t>
  </si>
  <si>
    <t>ttfund__D7523P9</t>
  </si>
  <si>
    <t>银华天玑-悄悄盈</t>
  </si>
  <si>
    <t>沪深 300（000300.SH）*85% + 中证货币市场基金指数（H11025.CSI）*15%</t>
  </si>
  <si>
    <t>ttfund__EFL0NZ3</t>
  </si>
  <si>
    <t>价值投基V</t>
  </si>
  <si>
    <t>ttfund__RD4QA7I</t>
  </si>
  <si>
    <t>ttfund__OLDWWKU</t>
  </si>
  <si>
    <t>年年红偏债</t>
  </si>
  <si>
    <t>业绩比较基准=中证转债*50%+中证全债*50%</t>
  </si>
  <si>
    <t>ttfund__JW6THOY</t>
  </si>
  <si>
    <t>国泰00后（2060）养老</t>
  </si>
  <si>
    <t>沪深300指数*98%+中证货币基金指数*2%</t>
  </si>
  <si>
    <t>ttfund__Q0ZLTYI</t>
  </si>
  <si>
    <t>国泰90后（2050）养老</t>
  </si>
  <si>
    <t>95%沪深300+5%货币基金指数</t>
  </si>
  <si>
    <t>ttfund__MRK40XS</t>
  </si>
  <si>
    <t>带你投消费</t>
  </si>
  <si>
    <t>95%中证内地消费指数+5%中债综合全价（总值）指数</t>
  </si>
  <si>
    <t>ttfund__A3KWSCA</t>
  </si>
  <si>
    <t>国泰进取全球配置</t>
  </si>
  <si>
    <t>60%沪深300+10%恒生指数+25%标普500+5%货币基金指数</t>
  </si>
  <si>
    <t>ttfund__EPWWDB2</t>
  </si>
  <si>
    <t>积极进取</t>
  </si>
  <si>
    <t>90%*000906(中证800)+10%*H11009（中证综合债指数）</t>
  </si>
  <si>
    <t>ttfund__B014F3M</t>
  </si>
  <si>
    <t>香港股票方向基金精选策略</t>
  </si>
  <si>
    <t>中证港股通综合指数×87.5%+上证国债指数×12.5%</t>
  </si>
  <si>
    <t>ttfund__1SCBEAZ</t>
  </si>
  <si>
    <t>红利优选</t>
  </si>
  <si>
    <t>95%*中证红利指数
+5%*中证货币基金指数</t>
  </si>
  <si>
    <t>ttfund__L10IWCV</t>
  </si>
  <si>
    <t>广发带你投红利</t>
  </si>
  <si>
    <t>中证红利指数收益率*95%+中债综合全价（总值）指数收益率*5%</t>
  </si>
  <si>
    <t>ttfund__FPNNVA1</t>
  </si>
  <si>
    <t>交银黄金加</t>
  </si>
  <si>
    <t>70%上海黄金交易所Au99.99现货实盘合约收盘价收益率+30%中证货币基金指数收益率</t>
  </si>
  <si>
    <t>ttfund__MZIF90G</t>
  </si>
  <si>
    <t>交银黄金加（直销）</t>
  </si>
  <si>
    <t>ttfund__DIT9E15</t>
  </si>
  <si>
    <t>富国带你投黄金</t>
  </si>
  <si>
    <t>中债综合全价10%+ 上海黄金交易所AU9999收益率*90%</t>
  </si>
  <si>
    <t>ttfund__XLBBK9I</t>
  </si>
  <si>
    <t>带你投红利低波</t>
  </si>
  <si>
    <t>中证红利低波指数*90%+中证货币基金指数*10%</t>
  </si>
  <si>
    <t>ttfund__ZHDIO4I</t>
  </si>
  <si>
    <t>红利汉堡</t>
  </si>
  <si>
    <t>中证红利*100%</t>
  </si>
  <si>
    <t>gffunds__GFJJ001384</t>
  </si>
  <si>
    <t>广发全球商品甄选</t>
  </si>
  <si>
    <t>按上海黄金交易所 Au99.99 现货实盘合约收盘 价计算的收益率*90%+中证货币型基金指数*10%</t>
  </si>
  <si>
    <t>ttfund__JTWNBSD</t>
  </si>
  <si>
    <t>万家非凡消费驱动</t>
  </si>
  <si>
    <t>80%*中证沪港深优选消费50指数+20%*中债综合全价(总值)指数收益率</t>
  </si>
  <si>
    <t>ttfund__4S22M2O</t>
  </si>
  <si>
    <t>景顺长城港股宝</t>
  </si>
  <si>
    <t>60%恒生指数+30%沪深300指数+10%中证货币基金指数</t>
  </si>
  <si>
    <t>ttfund__MUTW0G7</t>
  </si>
  <si>
    <t>红利灵犀</t>
  </si>
  <si>
    <t>100中证红利指数</t>
  </si>
  <si>
    <t>gffunds__GFJJ001400</t>
  </si>
  <si>
    <t>优选香港组合</t>
  </si>
  <si>
    <t>恒生指数收益率*95%+中债综合全价（总值）指数收益率*5%</t>
  </si>
  <si>
    <t>ttfund__V5K3LT0</t>
  </si>
  <si>
    <t>富贵闲人</t>
  </si>
  <si>
    <t>75%中证800指数收益率 +10%中证商品CIFI指数收益率 +15%中债总全价指数收益率</t>
  </si>
  <si>
    <t>ttfund__DXHFO1R</t>
  </si>
  <si>
    <t>医药汉堡</t>
  </si>
  <si>
    <t>800医药*100%</t>
  </si>
  <si>
    <t>策略数量</t>
  </si>
  <si>
    <t>对应公募基金类型</t>
  </si>
  <si>
    <t>策略平均YTD(%)</t>
  </si>
  <si>
    <t>策略平均排名百分位(%)</t>
  </si>
  <si>
    <t>策略中位数排名百分位(%)</t>
  </si>
  <si>
    <t>策略最高排名百分位(%)</t>
  </si>
  <si>
    <t>策略最低排名百分位(%)</t>
  </si>
  <si>
    <t>低波、固收、稳健配置型FOF</t>
  </si>
  <si>
    <t>平衡混合型FOF、均衡配置型FOF</t>
  </si>
  <si>
    <t>偏股混合型FOF、高权益配置型FOF</t>
  </si>
  <si>
    <t>海外、全球配置和QDII类FOF</t>
  </si>
  <si>
    <t>分类规则和排名方法说明</t>
  </si>
  <si>
    <t>一、分类规则</t>
  </si>
  <si>
    <t>按策略的资产配置特征映射到可比FOF分类，并在同类FOF产品中比较2026年上半年收益表现。</t>
  </si>
  <si>
    <t>策略分类</t>
  </si>
  <si>
    <t>可比FOF范围</t>
  </si>
  <si>
    <t>说明</t>
  </si>
  <si>
    <t>FOF-低波/现金管理</t>
  </si>
  <si>
    <t>货币型、短债型、低波稳健类FOF</t>
  </si>
  <si>
    <t>以现金管理、短债、低波稳健配置为主</t>
  </si>
  <si>
    <t>FOF-固收型</t>
  </si>
  <si>
    <t>债券型FOF、固收为主FOF</t>
  </si>
  <si>
    <t>以固收资产为主，权益配置较低</t>
  </si>
  <si>
    <t>FOF-均衡偏债</t>
  </si>
  <si>
    <t>偏债混合型FOF、稳健配置型FOF</t>
  </si>
  <si>
    <t>权益配置低于均衡型，兼顾收益与波动控制</t>
  </si>
  <si>
    <t>股债配置相对均衡</t>
  </si>
  <si>
    <t>FOF-高权益型</t>
  </si>
  <si>
    <t>权益资产占比较高，收益弹性和波动均较高</t>
  </si>
  <si>
    <t>二、排名方法</t>
  </si>
  <si>
    <t>累计收益、基准累计收益和年化收益均取2026年上半年区间。</t>
  </si>
  <si>
    <t>同类基金总数为该分类下有2026年上半年收益数据的FOF数量。</t>
  </si>
  <si>
    <t>排名按同类FOF收益从高到低排序，数值越小表示排名越靠前。</t>
  </si>
  <si>
    <t>击败百分比=1-排名位置百分位；排名位置百分位=排名/同类基金总数。</t>
  </si>
  <si>
    <t>原模板未单列混合基金权重，因此占比列延续原表的权益、固收、货币和另类展示方式。</t>
  </si>
  <si>
    <t>三、数据范围</t>
  </si>
  <si>
    <t>策略收益截止日：2026-06-30</t>
  </si>
  <si>
    <t>FOF收益截止日：2026-06-30</t>
  </si>
  <si>
    <t>投顾策略数量：1201</t>
  </si>
  <si>
    <t>有上半年收益FOF数量：983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</si>
</sst>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宋体"/>
    </font>
    <font>
      <sz val="11"/>
      <color rgb="FF000000"/>
      <name val="宋体"/>
      <charset val="134"/>
    </font>
    <font>
      <b/>
      <sz val="11"/>
      <color rgb="FF000000"/>
      <name val="宋体"/>
      <charset val="134"/>
    </font>
    <font>
      <sz val="9"/>
      <name val="宋体"/>
      <family val="3"/>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10" fontId="1" fillId="0" borderId="0" xfId="0" applyNumberFormat="1" applyFont="1" applyAlignment="1"/>
    <xf numFmtId="0" fontId="1" fillId="0" borderId="0" xfId="0" applyFont="1" applyAlignment="1">
      <alignment vertical="center" wrapText="1"/>
    </xf>
    <xf numFmtId="0" fontId="2" fillId="0" borderId="1" xfId="0" applyFont="1" applyBorder="1" applyAlignment="1">
      <alignment horizontal="center" vertical="center" wrapText="1"/>
    </xf>
    <xf numFmtId="10" fontId="2" fillId="0" borderId="1" xfId="0" applyNumberFormat="1" applyFont="1" applyBorder="1" applyAlignment="1">
      <alignment horizontal="center" vertical="center" wrapText="1"/>
    </xf>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43"/>
  <sheetViews>
    <sheetView tabSelected="1" workbookViewId="0">
      <selection activeCell="K18" sqref="K18"/>
    </sheetView>
  </sheetViews>
  <sheetFormatPr defaultColWidth="10" defaultRowHeight="14.4" x14ac:dyDescent="0.25"/>
  <cols>
    <col min="1" max="1" width="12.77734375" customWidth="1"/>
    <col min="2" max="2" width="18.77734375" customWidth="1"/>
    <col min="3" max="3" width="48.77734375" customWidth="1"/>
    <col min="4" max="6" width="10.77734375" customWidth="1"/>
    <col min="7" max="10" width="8.77734375" customWidth="1"/>
    <col min="11" max="11" width="18" customWidth="1"/>
    <col min="12" max="12" width="14.21875" customWidth="1"/>
    <col min="13" max="14" width="11.21875" customWidth="1"/>
    <col min="15" max="15" width="9.77734375" style="1" customWidth="1"/>
  </cols>
  <sheetData>
    <row r="1" spans="1:15" s="2" customFormat="1" ht="27"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4" t="s">
        <v>14</v>
      </c>
    </row>
    <row r="2" spans="1:15" x14ac:dyDescent="0.25">
      <c r="A2" t="s">
        <v>15</v>
      </c>
      <c r="B2" t="s">
        <v>16</v>
      </c>
      <c r="C2" t="s">
        <v>17</v>
      </c>
      <c r="D2">
        <v>37.299999999999997</v>
      </c>
      <c r="E2">
        <v>0</v>
      </c>
      <c r="F2">
        <v>89.5</v>
      </c>
      <c r="G2">
        <v>47.69</v>
      </c>
      <c r="H2">
        <v>0</v>
      </c>
      <c r="I2">
        <v>0.7</v>
      </c>
      <c r="J2">
        <v>0</v>
      </c>
      <c r="K2" t="s">
        <v>18</v>
      </c>
      <c r="L2">
        <v>269</v>
      </c>
      <c r="M2">
        <v>9</v>
      </c>
      <c r="N2" s="1">
        <f t="shared" ref="N2:N65" si="0">1-O2</f>
        <v>0.96654275092936803</v>
      </c>
      <c r="O2" s="1">
        <f t="shared" ref="O2:O65" si="1">M2/L2</f>
        <v>3.3457249070631967E-2</v>
      </c>
    </row>
    <row r="3" spans="1:15" x14ac:dyDescent="0.25">
      <c r="A3" t="s">
        <v>19</v>
      </c>
      <c r="B3" t="s">
        <v>20</v>
      </c>
      <c r="C3" t="s">
        <v>21</v>
      </c>
      <c r="D3">
        <v>32.69</v>
      </c>
      <c r="E3">
        <v>5.71</v>
      </c>
      <c r="F3">
        <v>76.89</v>
      </c>
      <c r="G3">
        <v>47</v>
      </c>
      <c r="H3">
        <v>14</v>
      </c>
      <c r="I3">
        <v>3</v>
      </c>
      <c r="J3">
        <v>0</v>
      </c>
      <c r="K3" t="s">
        <v>18</v>
      </c>
      <c r="L3">
        <v>269</v>
      </c>
      <c r="M3">
        <v>9</v>
      </c>
      <c r="N3" s="1">
        <f t="shared" si="0"/>
        <v>0.96654275092936803</v>
      </c>
      <c r="O3" s="1">
        <f t="shared" si="1"/>
        <v>3.3457249070631967E-2</v>
      </c>
    </row>
    <row r="4" spans="1:15" x14ac:dyDescent="0.25">
      <c r="A4" t="s">
        <v>22</v>
      </c>
      <c r="B4" t="s">
        <v>23</v>
      </c>
      <c r="C4" t="s">
        <v>24</v>
      </c>
      <c r="D4">
        <v>31.07</v>
      </c>
      <c r="E4">
        <v>8.48</v>
      </c>
      <c r="F4">
        <v>72.56</v>
      </c>
      <c r="G4">
        <v>50</v>
      </c>
      <c r="H4">
        <v>0</v>
      </c>
      <c r="I4">
        <v>5</v>
      </c>
      <c r="J4">
        <v>0</v>
      </c>
      <c r="K4" t="s">
        <v>18</v>
      </c>
      <c r="L4">
        <v>269</v>
      </c>
      <c r="M4">
        <v>11</v>
      </c>
      <c r="N4" s="1">
        <f t="shared" si="0"/>
        <v>0.95910780669144979</v>
      </c>
      <c r="O4" s="1">
        <f t="shared" si="1"/>
        <v>4.0892193308550186E-2</v>
      </c>
    </row>
    <row r="5" spans="1:15" x14ac:dyDescent="0.25">
      <c r="A5" t="s">
        <v>25</v>
      </c>
      <c r="B5" t="s">
        <v>26</v>
      </c>
      <c r="C5" t="s">
        <v>27</v>
      </c>
      <c r="D5">
        <v>29.8</v>
      </c>
      <c r="E5">
        <v>7.39</v>
      </c>
      <c r="F5">
        <v>69.209999999999994</v>
      </c>
      <c r="G5">
        <v>54.49</v>
      </c>
      <c r="H5">
        <v>22</v>
      </c>
      <c r="I5">
        <v>1.57</v>
      </c>
      <c r="J5">
        <v>0</v>
      </c>
      <c r="K5" t="s">
        <v>18</v>
      </c>
      <c r="L5">
        <v>269</v>
      </c>
      <c r="M5">
        <v>11</v>
      </c>
      <c r="N5" s="1">
        <f t="shared" si="0"/>
        <v>0.95910780669144979</v>
      </c>
      <c r="O5" s="1">
        <f t="shared" si="1"/>
        <v>4.0892193308550186E-2</v>
      </c>
    </row>
    <row r="6" spans="1:15" x14ac:dyDescent="0.25">
      <c r="A6" t="s">
        <v>28</v>
      </c>
      <c r="B6" t="s">
        <v>29</v>
      </c>
      <c r="C6" t="s">
        <v>30</v>
      </c>
      <c r="D6">
        <v>28.27</v>
      </c>
      <c r="E6">
        <v>4.51</v>
      </c>
      <c r="F6">
        <v>65.2</v>
      </c>
      <c r="G6">
        <v>33.85</v>
      </c>
      <c r="H6">
        <v>26.74</v>
      </c>
      <c r="I6">
        <v>1.0900000000000001</v>
      </c>
      <c r="J6">
        <v>3.51</v>
      </c>
      <c r="K6" t="s">
        <v>18</v>
      </c>
      <c r="L6">
        <v>269</v>
      </c>
      <c r="M6">
        <v>11</v>
      </c>
      <c r="N6" s="1">
        <f t="shared" si="0"/>
        <v>0.95910780669144979</v>
      </c>
      <c r="O6" s="1">
        <f t="shared" si="1"/>
        <v>4.0892193308550186E-2</v>
      </c>
    </row>
    <row r="7" spans="1:15" x14ac:dyDescent="0.25">
      <c r="A7" t="s">
        <v>31</v>
      </c>
      <c r="B7" t="s">
        <v>32</v>
      </c>
      <c r="C7" t="s">
        <v>33</v>
      </c>
      <c r="D7">
        <v>27.46</v>
      </c>
      <c r="E7">
        <v>5.71</v>
      </c>
      <c r="F7">
        <v>63.12</v>
      </c>
      <c r="G7">
        <v>37.03</v>
      </c>
      <c r="H7">
        <v>13.54</v>
      </c>
      <c r="I7">
        <v>1.29</v>
      </c>
      <c r="J7">
        <v>9.44</v>
      </c>
      <c r="K7" t="s">
        <v>18</v>
      </c>
      <c r="L7">
        <v>269</v>
      </c>
      <c r="M7">
        <v>12</v>
      </c>
      <c r="N7" s="1">
        <f t="shared" si="0"/>
        <v>0.95539033457249067</v>
      </c>
      <c r="O7" s="1">
        <f t="shared" si="1"/>
        <v>4.4609665427509292E-2</v>
      </c>
    </row>
    <row r="8" spans="1:15" x14ac:dyDescent="0.25">
      <c r="A8" t="s">
        <v>34</v>
      </c>
      <c r="B8" t="s">
        <v>35</v>
      </c>
      <c r="C8" t="s">
        <v>36</v>
      </c>
      <c r="D8">
        <v>26.85</v>
      </c>
      <c r="E8">
        <v>4.51</v>
      </c>
      <c r="F8">
        <v>61.55</v>
      </c>
      <c r="G8">
        <v>51.59</v>
      </c>
      <c r="H8">
        <v>27.23</v>
      </c>
      <c r="I8">
        <v>7.96</v>
      </c>
      <c r="J8">
        <v>5.77</v>
      </c>
      <c r="K8" t="s">
        <v>18</v>
      </c>
      <c r="L8">
        <v>269</v>
      </c>
      <c r="M8">
        <v>13</v>
      </c>
      <c r="N8" s="1">
        <f t="shared" si="0"/>
        <v>0.95167286245353155</v>
      </c>
      <c r="O8" s="1">
        <f t="shared" si="1"/>
        <v>4.8327137546468404E-2</v>
      </c>
    </row>
    <row r="9" spans="1:15" x14ac:dyDescent="0.25">
      <c r="A9" t="s">
        <v>37</v>
      </c>
      <c r="B9" t="s">
        <v>38</v>
      </c>
      <c r="C9" t="s">
        <v>39</v>
      </c>
      <c r="D9">
        <v>25.7</v>
      </c>
      <c r="E9">
        <v>-0.94</v>
      </c>
      <c r="F9">
        <v>58.59</v>
      </c>
      <c r="G9">
        <v>25</v>
      </c>
      <c r="H9">
        <v>0</v>
      </c>
      <c r="I9">
        <v>2</v>
      </c>
      <c r="J9">
        <v>0</v>
      </c>
      <c r="K9" t="s">
        <v>18</v>
      </c>
      <c r="L9">
        <v>269</v>
      </c>
      <c r="M9">
        <v>15</v>
      </c>
      <c r="N9" s="1">
        <f t="shared" si="0"/>
        <v>0.94423791821561343</v>
      </c>
      <c r="O9" s="1">
        <f t="shared" si="1"/>
        <v>5.5762081784386616E-2</v>
      </c>
    </row>
    <row r="10" spans="1:15" x14ac:dyDescent="0.25">
      <c r="A10" t="s">
        <v>40</v>
      </c>
      <c r="B10" t="s">
        <v>41</v>
      </c>
      <c r="C10" t="s">
        <v>42</v>
      </c>
      <c r="D10">
        <v>25.48</v>
      </c>
      <c r="E10">
        <v>18.32</v>
      </c>
      <c r="F10">
        <v>58.04</v>
      </c>
      <c r="G10">
        <v>59.8</v>
      </c>
      <c r="H10">
        <v>10.199999999999999</v>
      </c>
      <c r="I10">
        <v>5</v>
      </c>
      <c r="J10">
        <v>4.4000000000000004</v>
      </c>
      <c r="K10" t="s">
        <v>18</v>
      </c>
      <c r="L10">
        <v>269</v>
      </c>
      <c r="M10">
        <v>16</v>
      </c>
      <c r="N10" s="1">
        <f t="shared" si="0"/>
        <v>0.94052044609665431</v>
      </c>
      <c r="O10" s="1">
        <f t="shared" si="1"/>
        <v>5.9479553903345722E-2</v>
      </c>
    </row>
    <row r="11" spans="1:15" x14ac:dyDescent="0.25">
      <c r="A11" t="s">
        <v>43</v>
      </c>
      <c r="B11" t="s">
        <v>44</v>
      </c>
      <c r="C11" t="s">
        <v>45</v>
      </c>
      <c r="D11">
        <v>20.47</v>
      </c>
      <c r="E11">
        <v>5.4</v>
      </c>
      <c r="F11">
        <v>45.58</v>
      </c>
      <c r="G11">
        <v>30.91</v>
      </c>
      <c r="H11">
        <v>24.62</v>
      </c>
      <c r="I11">
        <v>2</v>
      </c>
      <c r="J11">
        <v>0</v>
      </c>
      <c r="K11" t="s">
        <v>18</v>
      </c>
      <c r="L11">
        <v>269</v>
      </c>
      <c r="M11">
        <v>24</v>
      </c>
      <c r="N11" s="1">
        <f t="shared" si="0"/>
        <v>0.91078066914498146</v>
      </c>
      <c r="O11" s="1">
        <f t="shared" si="1"/>
        <v>8.9219330855018583E-2</v>
      </c>
    </row>
    <row r="12" spans="1:15" x14ac:dyDescent="0.25">
      <c r="A12" t="s">
        <v>46</v>
      </c>
      <c r="B12" t="s">
        <v>47</v>
      </c>
      <c r="C12" t="s">
        <v>48</v>
      </c>
      <c r="D12">
        <v>19.829999999999998</v>
      </c>
      <c r="E12">
        <v>5.37</v>
      </c>
      <c r="F12">
        <v>44.02</v>
      </c>
      <c r="G12">
        <v>54.41</v>
      </c>
      <c r="H12">
        <v>26.58</v>
      </c>
      <c r="I12">
        <v>1.89</v>
      </c>
      <c r="J12">
        <v>9.69</v>
      </c>
      <c r="K12" t="s">
        <v>18</v>
      </c>
      <c r="L12">
        <v>269</v>
      </c>
      <c r="M12">
        <v>26</v>
      </c>
      <c r="N12" s="1">
        <f t="shared" si="0"/>
        <v>0.90334572490706322</v>
      </c>
      <c r="O12" s="1">
        <f t="shared" si="1"/>
        <v>9.6654275092936809E-2</v>
      </c>
    </row>
    <row r="13" spans="1:15" x14ac:dyDescent="0.25">
      <c r="A13" t="s">
        <v>49</v>
      </c>
      <c r="B13" t="s">
        <v>50</v>
      </c>
      <c r="C13" t="s">
        <v>51</v>
      </c>
      <c r="D13">
        <v>17.95</v>
      </c>
      <c r="E13">
        <v>5.16</v>
      </c>
      <c r="F13">
        <v>39.5</v>
      </c>
      <c r="G13">
        <v>51.75</v>
      </c>
      <c r="H13">
        <v>29.57</v>
      </c>
      <c r="I13">
        <v>5.65</v>
      </c>
      <c r="J13">
        <v>0</v>
      </c>
      <c r="K13" t="s">
        <v>18</v>
      </c>
      <c r="L13">
        <v>269</v>
      </c>
      <c r="M13">
        <v>31</v>
      </c>
      <c r="N13" s="1">
        <f t="shared" si="0"/>
        <v>0.88475836431226762</v>
      </c>
      <c r="O13" s="1">
        <f t="shared" si="1"/>
        <v>0.11524163568773234</v>
      </c>
    </row>
    <row r="14" spans="1:15" x14ac:dyDescent="0.25">
      <c r="A14" t="s">
        <v>52</v>
      </c>
      <c r="B14" t="s">
        <v>53</v>
      </c>
      <c r="D14">
        <v>17.79</v>
      </c>
      <c r="F14">
        <v>39.119999999999997</v>
      </c>
      <c r="G14">
        <v>50.92</v>
      </c>
      <c r="H14">
        <v>30</v>
      </c>
      <c r="I14">
        <v>5.97</v>
      </c>
      <c r="J14">
        <v>0</v>
      </c>
      <c r="K14" t="s">
        <v>18</v>
      </c>
      <c r="L14">
        <v>269</v>
      </c>
      <c r="M14">
        <v>32</v>
      </c>
      <c r="N14" s="1">
        <f t="shared" si="0"/>
        <v>0.88104089219330861</v>
      </c>
      <c r="O14" s="1">
        <f t="shared" si="1"/>
        <v>0.11895910780669144</v>
      </c>
    </row>
    <row r="15" spans="1:15" x14ac:dyDescent="0.25">
      <c r="A15" t="s">
        <v>54</v>
      </c>
      <c r="B15" t="s">
        <v>55</v>
      </c>
      <c r="C15" t="s">
        <v>56</v>
      </c>
      <c r="D15">
        <v>17.34</v>
      </c>
      <c r="E15">
        <v>3.3</v>
      </c>
      <c r="F15">
        <v>38.04</v>
      </c>
      <c r="G15">
        <v>33.479999999999997</v>
      </c>
      <c r="H15">
        <v>48.02</v>
      </c>
      <c r="I15">
        <v>1.1599999999999999</v>
      </c>
      <c r="J15">
        <v>0</v>
      </c>
      <c r="K15" t="s">
        <v>18</v>
      </c>
      <c r="L15">
        <v>269</v>
      </c>
      <c r="M15">
        <v>35</v>
      </c>
      <c r="N15" s="1">
        <f t="shared" si="0"/>
        <v>0.86988847583643125</v>
      </c>
      <c r="O15" s="1">
        <f t="shared" si="1"/>
        <v>0.13011152416356878</v>
      </c>
    </row>
    <row r="16" spans="1:15" x14ac:dyDescent="0.25">
      <c r="A16" t="s">
        <v>57</v>
      </c>
      <c r="B16" t="s">
        <v>58</v>
      </c>
      <c r="C16" t="s">
        <v>59</v>
      </c>
      <c r="D16">
        <v>17.100000000000001</v>
      </c>
      <c r="E16">
        <v>4.45</v>
      </c>
      <c r="F16">
        <v>37.479999999999997</v>
      </c>
      <c r="G16">
        <v>24</v>
      </c>
      <c r="H16">
        <v>50</v>
      </c>
      <c r="I16">
        <v>1</v>
      </c>
      <c r="J16">
        <v>0</v>
      </c>
      <c r="K16" t="s">
        <v>18</v>
      </c>
      <c r="L16">
        <v>269</v>
      </c>
      <c r="M16">
        <v>37</v>
      </c>
      <c r="N16" s="1">
        <f t="shared" si="0"/>
        <v>0.86245353159851301</v>
      </c>
      <c r="O16" s="1">
        <f t="shared" si="1"/>
        <v>0.13754646840148699</v>
      </c>
    </row>
    <row r="17" spans="1:15" x14ac:dyDescent="0.25">
      <c r="A17" t="s">
        <v>60</v>
      </c>
      <c r="B17" t="s">
        <v>61</v>
      </c>
      <c r="C17" t="s">
        <v>62</v>
      </c>
      <c r="D17">
        <v>16.850000000000001</v>
      </c>
      <c r="E17">
        <v>8.6199999999999992</v>
      </c>
      <c r="F17">
        <v>36.880000000000003</v>
      </c>
      <c r="G17">
        <v>48.5</v>
      </c>
      <c r="H17">
        <v>5</v>
      </c>
      <c r="I17">
        <v>1.5</v>
      </c>
      <c r="J17">
        <v>0</v>
      </c>
      <c r="K17" t="s">
        <v>18</v>
      </c>
      <c r="L17">
        <v>269</v>
      </c>
      <c r="M17">
        <v>38</v>
      </c>
      <c r="N17" s="1">
        <f t="shared" si="0"/>
        <v>0.85873605947955389</v>
      </c>
      <c r="O17" s="1">
        <f t="shared" si="1"/>
        <v>0.14126394052044611</v>
      </c>
    </row>
    <row r="18" spans="1:15" x14ac:dyDescent="0.25">
      <c r="A18" t="s">
        <v>63</v>
      </c>
      <c r="B18" t="s">
        <v>64</v>
      </c>
      <c r="C18" t="s">
        <v>65</v>
      </c>
      <c r="D18">
        <v>16.48</v>
      </c>
      <c r="E18">
        <v>8.27</v>
      </c>
      <c r="F18">
        <v>36.01</v>
      </c>
      <c r="G18">
        <v>40</v>
      </c>
      <c r="H18">
        <v>15</v>
      </c>
      <c r="I18">
        <v>5</v>
      </c>
      <c r="J18">
        <v>0</v>
      </c>
      <c r="K18" t="s">
        <v>18</v>
      </c>
      <c r="L18">
        <v>269</v>
      </c>
      <c r="M18">
        <v>39</v>
      </c>
      <c r="N18" s="1">
        <f t="shared" si="0"/>
        <v>0.85501858736059477</v>
      </c>
      <c r="O18" s="1">
        <f t="shared" si="1"/>
        <v>0.1449814126394052</v>
      </c>
    </row>
    <row r="19" spans="1:15" x14ac:dyDescent="0.25">
      <c r="A19" t="s">
        <v>66</v>
      </c>
      <c r="B19" t="s">
        <v>67</v>
      </c>
      <c r="C19" t="s">
        <v>68</v>
      </c>
      <c r="D19">
        <v>15.95</v>
      </c>
      <c r="E19">
        <v>10.89</v>
      </c>
      <c r="F19">
        <v>34.76</v>
      </c>
      <c r="G19">
        <v>53.5</v>
      </c>
      <c r="H19">
        <v>25</v>
      </c>
      <c r="I19">
        <v>1</v>
      </c>
      <c r="J19">
        <v>0</v>
      </c>
      <c r="K19" t="s">
        <v>18</v>
      </c>
      <c r="L19">
        <v>269</v>
      </c>
      <c r="M19">
        <v>41</v>
      </c>
      <c r="N19" s="1">
        <f t="shared" si="0"/>
        <v>0.84758364312267664</v>
      </c>
      <c r="O19" s="1">
        <f t="shared" si="1"/>
        <v>0.15241635687732341</v>
      </c>
    </row>
    <row r="20" spans="1:15" x14ac:dyDescent="0.25">
      <c r="A20" t="s">
        <v>69</v>
      </c>
      <c r="B20" t="s">
        <v>70</v>
      </c>
      <c r="C20" t="s">
        <v>71</v>
      </c>
      <c r="D20">
        <v>15.13</v>
      </c>
      <c r="E20">
        <v>6.3</v>
      </c>
      <c r="F20">
        <v>32.86</v>
      </c>
      <c r="G20">
        <v>51</v>
      </c>
      <c r="H20">
        <v>8</v>
      </c>
      <c r="I20">
        <v>2</v>
      </c>
      <c r="J20">
        <v>0</v>
      </c>
      <c r="K20" t="s">
        <v>18</v>
      </c>
      <c r="L20">
        <v>269</v>
      </c>
      <c r="M20">
        <v>47</v>
      </c>
      <c r="N20" s="1">
        <f t="shared" si="0"/>
        <v>0.82527881040892193</v>
      </c>
      <c r="O20" s="1">
        <f t="shared" si="1"/>
        <v>0.17472118959107807</v>
      </c>
    </row>
    <row r="21" spans="1:15" x14ac:dyDescent="0.25">
      <c r="A21" t="s">
        <v>72</v>
      </c>
      <c r="B21" t="s">
        <v>73</v>
      </c>
      <c r="C21" t="s">
        <v>74</v>
      </c>
      <c r="D21">
        <v>13.44</v>
      </c>
      <c r="E21">
        <v>10.89</v>
      </c>
      <c r="F21">
        <v>28.96</v>
      </c>
      <c r="G21">
        <v>54.81</v>
      </c>
      <c r="H21">
        <v>34.450000000000003</v>
      </c>
      <c r="I21">
        <v>0.98</v>
      </c>
      <c r="J21">
        <v>0</v>
      </c>
      <c r="K21" t="s">
        <v>18</v>
      </c>
      <c r="L21">
        <v>269</v>
      </c>
      <c r="M21">
        <v>57</v>
      </c>
      <c r="N21" s="1">
        <f t="shared" si="0"/>
        <v>0.78810408921933084</v>
      </c>
      <c r="O21" s="1">
        <f t="shared" si="1"/>
        <v>0.21189591078066913</v>
      </c>
    </row>
    <row r="22" spans="1:15" x14ac:dyDescent="0.25">
      <c r="A22" t="s">
        <v>75</v>
      </c>
      <c r="B22" t="s">
        <v>76</v>
      </c>
      <c r="D22">
        <v>13.23</v>
      </c>
      <c r="E22">
        <v>0</v>
      </c>
      <c r="F22">
        <v>28.48</v>
      </c>
      <c r="G22">
        <v>34</v>
      </c>
      <c r="H22">
        <v>27</v>
      </c>
      <c r="I22">
        <v>1</v>
      </c>
      <c r="J22">
        <v>0</v>
      </c>
      <c r="K22" t="s">
        <v>18</v>
      </c>
      <c r="L22">
        <v>269</v>
      </c>
      <c r="M22">
        <v>58</v>
      </c>
      <c r="N22" s="1">
        <f t="shared" si="0"/>
        <v>0.78438661710037172</v>
      </c>
      <c r="O22" s="1">
        <f t="shared" si="1"/>
        <v>0.21561338289962825</v>
      </c>
    </row>
    <row r="23" spans="1:15" x14ac:dyDescent="0.25">
      <c r="A23" t="s">
        <v>77</v>
      </c>
      <c r="B23" t="s">
        <v>78</v>
      </c>
      <c r="D23">
        <v>13.23</v>
      </c>
      <c r="E23">
        <v>0</v>
      </c>
      <c r="F23">
        <v>28.48</v>
      </c>
      <c r="G23">
        <v>34</v>
      </c>
      <c r="H23">
        <v>27</v>
      </c>
      <c r="I23">
        <v>1</v>
      </c>
      <c r="J23">
        <v>0</v>
      </c>
      <c r="K23" t="s">
        <v>18</v>
      </c>
      <c r="L23">
        <v>269</v>
      </c>
      <c r="M23">
        <v>58</v>
      </c>
      <c r="N23" s="1">
        <f t="shared" si="0"/>
        <v>0.78438661710037172</v>
      </c>
      <c r="O23" s="1">
        <f t="shared" si="1"/>
        <v>0.21561338289962825</v>
      </c>
    </row>
    <row r="24" spans="1:15" x14ac:dyDescent="0.25">
      <c r="A24" t="s">
        <v>79</v>
      </c>
      <c r="B24" t="s">
        <v>80</v>
      </c>
      <c r="D24">
        <v>13.23</v>
      </c>
      <c r="E24">
        <v>0</v>
      </c>
      <c r="F24">
        <v>28.48</v>
      </c>
      <c r="G24">
        <v>34</v>
      </c>
      <c r="H24">
        <v>27</v>
      </c>
      <c r="I24">
        <v>1</v>
      </c>
      <c r="J24">
        <v>0</v>
      </c>
      <c r="K24" t="s">
        <v>18</v>
      </c>
      <c r="L24">
        <v>269</v>
      </c>
      <c r="M24">
        <v>58</v>
      </c>
      <c r="N24" s="1">
        <f t="shared" si="0"/>
        <v>0.78438661710037172</v>
      </c>
      <c r="O24" s="1">
        <f t="shared" si="1"/>
        <v>0.21561338289962825</v>
      </c>
    </row>
    <row r="25" spans="1:15" x14ac:dyDescent="0.25">
      <c r="A25" t="s">
        <v>81</v>
      </c>
      <c r="B25" t="s">
        <v>82</v>
      </c>
      <c r="C25" t="s">
        <v>83</v>
      </c>
      <c r="D25">
        <v>13.16</v>
      </c>
      <c r="E25">
        <v>9.4700000000000006</v>
      </c>
      <c r="F25">
        <v>28.31</v>
      </c>
      <c r="G25">
        <v>33.31</v>
      </c>
      <c r="H25">
        <v>37.83</v>
      </c>
      <c r="I25">
        <v>5.83</v>
      </c>
      <c r="J25">
        <v>0</v>
      </c>
      <c r="K25" t="s">
        <v>18</v>
      </c>
      <c r="L25">
        <v>269</v>
      </c>
      <c r="M25">
        <v>58</v>
      </c>
      <c r="N25" s="1">
        <f t="shared" si="0"/>
        <v>0.78438661710037172</v>
      </c>
      <c r="O25" s="1">
        <f t="shared" si="1"/>
        <v>0.21561338289962825</v>
      </c>
    </row>
    <row r="26" spans="1:15" x14ac:dyDescent="0.25">
      <c r="A26" t="s">
        <v>84</v>
      </c>
      <c r="B26" t="s">
        <v>85</v>
      </c>
      <c r="C26" t="s">
        <v>86</v>
      </c>
      <c r="D26">
        <v>12.74</v>
      </c>
      <c r="E26">
        <v>5.81</v>
      </c>
      <c r="F26">
        <v>27.36</v>
      </c>
      <c r="G26">
        <v>47.09</v>
      </c>
      <c r="H26">
        <v>15.81</v>
      </c>
      <c r="I26">
        <v>2.29</v>
      </c>
      <c r="J26">
        <v>0</v>
      </c>
      <c r="K26" t="s">
        <v>18</v>
      </c>
      <c r="L26">
        <v>269</v>
      </c>
      <c r="M26">
        <v>61</v>
      </c>
      <c r="N26" s="1">
        <f t="shared" si="0"/>
        <v>0.77323420074349447</v>
      </c>
      <c r="O26" s="1">
        <f t="shared" si="1"/>
        <v>0.22676579925650558</v>
      </c>
    </row>
    <row r="27" spans="1:15" x14ac:dyDescent="0.25">
      <c r="A27" t="s">
        <v>87</v>
      </c>
      <c r="B27" t="s">
        <v>88</v>
      </c>
      <c r="C27" t="s">
        <v>17</v>
      </c>
      <c r="D27">
        <v>12.7</v>
      </c>
      <c r="E27">
        <v>0</v>
      </c>
      <c r="F27">
        <v>27.27</v>
      </c>
      <c r="G27">
        <v>56.09</v>
      </c>
      <c r="H27">
        <v>0</v>
      </c>
      <c r="I27">
        <v>0.91</v>
      </c>
      <c r="J27">
        <v>0</v>
      </c>
      <c r="K27" t="s">
        <v>18</v>
      </c>
      <c r="L27">
        <v>269</v>
      </c>
      <c r="M27">
        <v>61</v>
      </c>
      <c r="N27" s="1">
        <f t="shared" si="0"/>
        <v>0.77323420074349447</v>
      </c>
      <c r="O27" s="1">
        <f t="shared" si="1"/>
        <v>0.22676579925650558</v>
      </c>
    </row>
    <row r="28" spans="1:15" x14ac:dyDescent="0.25">
      <c r="A28" t="s">
        <v>89</v>
      </c>
      <c r="B28" t="s">
        <v>90</v>
      </c>
      <c r="C28" t="s">
        <v>91</v>
      </c>
      <c r="D28">
        <v>12.13</v>
      </c>
      <c r="E28">
        <v>7.25</v>
      </c>
      <c r="F28">
        <v>25.98</v>
      </c>
      <c r="G28">
        <v>40.64</v>
      </c>
      <c r="H28">
        <v>0</v>
      </c>
      <c r="I28">
        <v>1.34</v>
      </c>
      <c r="J28">
        <v>2.34</v>
      </c>
      <c r="K28" t="s">
        <v>18</v>
      </c>
      <c r="L28">
        <v>269</v>
      </c>
      <c r="M28">
        <v>69</v>
      </c>
      <c r="N28" s="1">
        <f t="shared" si="0"/>
        <v>0.74349442379182151</v>
      </c>
      <c r="O28" s="1">
        <f t="shared" si="1"/>
        <v>0.25650557620817843</v>
      </c>
    </row>
    <row r="29" spans="1:15" x14ac:dyDescent="0.25">
      <c r="A29" t="s">
        <v>92</v>
      </c>
      <c r="B29" t="s">
        <v>93</v>
      </c>
      <c r="C29" t="s">
        <v>94</v>
      </c>
      <c r="D29">
        <v>11.66</v>
      </c>
      <c r="E29">
        <v>5.27</v>
      </c>
      <c r="F29">
        <v>24.9</v>
      </c>
      <c r="G29">
        <v>41.32</v>
      </c>
      <c r="H29">
        <v>25.65</v>
      </c>
      <c r="I29">
        <v>3.08</v>
      </c>
      <c r="J29">
        <v>0</v>
      </c>
      <c r="K29" t="s">
        <v>18</v>
      </c>
      <c r="L29">
        <v>269</v>
      </c>
      <c r="M29">
        <v>77</v>
      </c>
      <c r="N29" s="1">
        <f t="shared" si="0"/>
        <v>0.71375464684014878</v>
      </c>
      <c r="O29" s="1">
        <f t="shared" si="1"/>
        <v>0.28624535315985128</v>
      </c>
    </row>
    <row r="30" spans="1:15" x14ac:dyDescent="0.25">
      <c r="A30" t="s">
        <v>95</v>
      </c>
      <c r="B30" t="s">
        <v>96</v>
      </c>
      <c r="C30" t="s">
        <v>97</v>
      </c>
      <c r="D30">
        <v>11.6</v>
      </c>
      <c r="E30">
        <v>8.6300000000000008</v>
      </c>
      <c r="F30">
        <v>24.77</v>
      </c>
      <c r="G30">
        <v>59</v>
      </c>
      <c r="H30">
        <v>0</v>
      </c>
      <c r="I30">
        <v>1.5</v>
      </c>
      <c r="J30">
        <v>0</v>
      </c>
      <c r="K30" t="s">
        <v>18</v>
      </c>
      <c r="L30">
        <v>269</v>
      </c>
      <c r="M30">
        <v>77</v>
      </c>
      <c r="N30" s="1">
        <f t="shared" si="0"/>
        <v>0.71375464684014878</v>
      </c>
      <c r="O30" s="1">
        <f t="shared" si="1"/>
        <v>0.28624535315985128</v>
      </c>
    </row>
    <row r="31" spans="1:15" x14ac:dyDescent="0.25">
      <c r="A31" t="s">
        <v>98</v>
      </c>
      <c r="B31" t="s">
        <v>99</v>
      </c>
      <c r="C31" t="s">
        <v>74</v>
      </c>
      <c r="D31">
        <v>11.36</v>
      </c>
      <c r="E31">
        <v>10.9</v>
      </c>
      <c r="F31">
        <v>24.24</v>
      </c>
      <c r="G31">
        <v>56.7</v>
      </c>
      <c r="H31">
        <v>24.4</v>
      </c>
      <c r="I31">
        <v>0.98</v>
      </c>
      <c r="J31">
        <v>0</v>
      </c>
      <c r="K31" t="s">
        <v>18</v>
      </c>
      <c r="L31">
        <v>269</v>
      </c>
      <c r="M31">
        <v>81</v>
      </c>
      <c r="N31" s="1">
        <f t="shared" si="0"/>
        <v>0.6988847583643123</v>
      </c>
      <c r="O31" s="1">
        <f t="shared" si="1"/>
        <v>0.30111524163568776</v>
      </c>
    </row>
    <row r="32" spans="1:15" x14ac:dyDescent="0.25">
      <c r="A32" t="s">
        <v>100</v>
      </c>
      <c r="B32" t="s">
        <v>101</v>
      </c>
      <c r="C32" t="s">
        <v>102</v>
      </c>
      <c r="D32">
        <v>11.24</v>
      </c>
      <c r="E32">
        <v>7.18</v>
      </c>
      <c r="F32">
        <v>23.95</v>
      </c>
      <c r="G32">
        <v>38.840000000000003</v>
      </c>
      <c r="H32">
        <v>51.65</v>
      </c>
      <c r="I32">
        <v>4.63</v>
      </c>
      <c r="J32">
        <v>0</v>
      </c>
      <c r="K32" t="s">
        <v>18</v>
      </c>
      <c r="L32">
        <v>269</v>
      </c>
      <c r="M32">
        <v>84</v>
      </c>
      <c r="N32" s="1">
        <f t="shared" si="0"/>
        <v>0.68773234200743494</v>
      </c>
      <c r="O32" s="1">
        <f t="shared" si="1"/>
        <v>0.31226765799256506</v>
      </c>
    </row>
    <row r="33" spans="1:15" x14ac:dyDescent="0.25">
      <c r="A33" t="s">
        <v>103</v>
      </c>
      <c r="B33" t="s">
        <v>104</v>
      </c>
      <c r="C33" t="s">
        <v>105</v>
      </c>
      <c r="D33">
        <v>11.2</v>
      </c>
      <c r="E33">
        <v>8.48</v>
      </c>
      <c r="F33">
        <v>23.86</v>
      </c>
      <c r="G33">
        <v>50</v>
      </c>
      <c r="H33">
        <v>0</v>
      </c>
      <c r="I33">
        <v>10</v>
      </c>
      <c r="J33">
        <v>8</v>
      </c>
      <c r="K33" t="s">
        <v>18</v>
      </c>
      <c r="L33">
        <v>269</v>
      </c>
      <c r="M33">
        <v>84</v>
      </c>
      <c r="N33" s="1">
        <f t="shared" si="0"/>
        <v>0.68773234200743494</v>
      </c>
      <c r="O33" s="1">
        <f t="shared" si="1"/>
        <v>0.31226765799256506</v>
      </c>
    </row>
    <row r="34" spans="1:15" x14ac:dyDescent="0.25">
      <c r="A34" t="s">
        <v>106</v>
      </c>
      <c r="B34" t="s">
        <v>107</v>
      </c>
      <c r="C34" t="s">
        <v>108</v>
      </c>
      <c r="D34">
        <v>11.19</v>
      </c>
      <c r="E34">
        <v>5.87</v>
      </c>
      <c r="F34">
        <v>23.84</v>
      </c>
      <c r="G34">
        <v>50.72</v>
      </c>
      <c r="H34">
        <v>19.3</v>
      </c>
      <c r="I34">
        <v>0.8</v>
      </c>
      <c r="J34">
        <v>0</v>
      </c>
      <c r="K34" t="s">
        <v>18</v>
      </c>
      <c r="L34">
        <v>269</v>
      </c>
      <c r="M34">
        <v>84</v>
      </c>
      <c r="N34" s="1">
        <f t="shared" si="0"/>
        <v>0.68773234200743494</v>
      </c>
      <c r="O34" s="1">
        <f t="shared" si="1"/>
        <v>0.31226765799256506</v>
      </c>
    </row>
    <row r="35" spans="1:15" x14ac:dyDescent="0.25">
      <c r="A35" t="s">
        <v>109</v>
      </c>
      <c r="B35" t="s">
        <v>107</v>
      </c>
      <c r="C35" t="s">
        <v>108</v>
      </c>
      <c r="D35">
        <v>11.13</v>
      </c>
      <c r="E35">
        <v>5.87</v>
      </c>
      <c r="F35">
        <v>23.71</v>
      </c>
      <c r="G35">
        <v>47.16</v>
      </c>
      <c r="H35">
        <v>27.38</v>
      </c>
      <c r="I35">
        <v>0.94</v>
      </c>
      <c r="J35">
        <v>0</v>
      </c>
      <c r="K35" t="s">
        <v>18</v>
      </c>
      <c r="L35">
        <v>269</v>
      </c>
      <c r="M35">
        <v>85</v>
      </c>
      <c r="N35" s="1">
        <f t="shared" si="0"/>
        <v>0.68401486988847582</v>
      </c>
      <c r="O35" s="1">
        <f t="shared" si="1"/>
        <v>0.31598513011152418</v>
      </c>
    </row>
    <row r="36" spans="1:15" x14ac:dyDescent="0.25">
      <c r="A36" t="s">
        <v>110</v>
      </c>
      <c r="B36" t="s">
        <v>111</v>
      </c>
      <c r="C36" t="s">
        <v>112</v>
      </c>
      <c r="D36">
        <v>10.74</v>
      </c>
      <c r="E36">
        <v>13.63</v>
      </c>
      <c r="F36">
        <v>22.84</v>
      </c>
      <c r="G36">
        <v>58.5</v>
      </c>
      <c r="H36">
        <v>5</v>
      </c>
      <c r="I36">
        <v>9</v>
      </c>
      <c r="J36">
        <v>0</v>
      </c>
      <c r="K36" t="s">
        <v>18</v>
      </c>
      <c r="L36">
        <v>269</v>
      </c>
      <c r="M36">
        <v>89</v>
      </c>
      <c r="N36" s="1">
        <f t="shared" si="0"/>
        <v>0.66914498141263934</v>
      </c>
      <c r="O36" s="1">
        <f t="shared" si="1"/>
        <v>0.33085501858736061</v>
      </c>
    </row>
    <row r="37" spans="1:15" x14ac:dyDescent="0.25">
      <c r="A37" t="s">
        <v>113</v>
      </c>
      <c r="B37" t="s">
        <v>114</v>
      </c>
      <c r="C37" t="s">
        <v>115</v>
      </c>
      <c r="D37">
        <v>10.72</v>
      </c>
      <c r="E37">
        <v>4.3600000000000003</v>
      </c>
      <c r="F37">
        <v>22.8</v>
      </c>
      <c r="G37">
        <v>37.68</v>
      </c>
      <c r="H37">
        <v>42.43</v>
      </c>
      <c r="I37">
        <v>0.9</v>
      </c>
      <c r="J37">
        <v>3.39</v>
      </c>
      <c r="K37" t="s">
        <v>18</v>
      </c>
      <c r="L37">
        <v>269</v>
      </c>
      <c r="M37">
        <v>89</v>
      </c>
      <c r="N37" s="1">
        <f t="shared" si="0"/>
        <v>0.66914498141263934</v>
      </c>
      <c r="O37" s="1">
        <f t="shared" si="1"/>
        <v>0.33085501858736061</v>
      </c>
    </row>
    <row r="38" spans="1:15" x14ac:dyDescent="0.25">
      <c r="A38" t="s">
        <v>116</v>
      </c>
      <c r="B38" t="s">
        <v>117</v>
      </c>
      <c r="C38" t="s">
        <v>118</v>
      </c>
      <c r="D38">
        <v>10.64</v>
      </c>
      <c r="E38">
        <v>5.98</v>
      </c>
      <c r="F38">
        <v>22.62</v>
      </c>
      <c r="G38">
        <v>26.45</v>
      </c>
      <c r="H38">
        <v>51.23</v>
      </c>
      <c r="I38">
        <v>4.45</v>
      </c>
      <c r="J38">
        <v>0</v>
      </c>
      <c r="K38" t="s">
        <v>18</v>
      </c>
      <c r="L38">
        <v>269</v>
      </c>
      <c r="M38">
        <v>90</v>
      </c>
      <c r="N38" s="1">
        <f t="shared" si="0"/>
        <v>0.66542750929368033</v>
      </c>
      <c r="O38" s="1">
        <f t="shared" si="1"/>
        <v>0.33457249070631973</v>
      </c>
    </row>
    <row r="39" spans="1:15" x14ac:dyDescent="0.25">
      <c r="A39" t="s">
        <v>119</v>
      </c>
      <c r="B39" t="s">
        <v>120</v>
      </c>
      <c r="C39" t="s">
        <v>121</v>
      </c>
      <c r="D39">
        <v>10.52</v>
      </c>
      <c r="E39">
        <v>5.36</v>
      </c>
      <c r="F39">
        <v>22.35</v>
      </c>
      <c r="G39">
        <v>42</v>
      </c>
      <c r="H39">
        <v>29</v>
      </c>
      <c r="I39">
        <v>1</v>
      </c>
      <c r="J39">
        <v>0</v>
      </c>
      <c r="K39" t="s">
        <v>18</v>
      </c>
      <c r="L39">
        <v>269</v>
      </c>
      <c r="M39">
        <v>91</v>
      </c>
      <c r="N39" s="1">
        <f t="shared" si="0"/>
        <v>0.66171003717472121</v>
      </c>
      <c r="O39" s="1">
        <f t="shared" si="1"/>
        <v>0.33828996282527879</v>
      </c>
    </row>
    <row r="40" spans="1:15" x14ac:dyDescent="0.25">
      <c r="A40" t="s">
        <v>122</v>
      </c>
      <c r="B40" t="s">
        <v>123</v>
      </c>
      <c r="C40" t="s">
        <v>124</v>
      </c>
      <c r="D40">
        <v>10.42</v>
      </c>
      <c r="E40">
        <v>9.51</v>
      </c>
      <c r="F40">
        <v>22.13</v>
      </c>
      <c r="G40">
        <v>47.52</v>
      </c>
      <c r="H40">
        <v>40.630000000000003</v>
      </c>
      <c r="I40">
        <v>0.99</v>
      </c>
      <c r="J40">
        <v>3.98</v>
      </c>
      <c r="K40" t="s">
        <v>18</v>
      </c>
      <c r="L40">
        <v>269</v>
      </c>
      <c r="M40">
        <v>93</v>
      </c>
      <c r="N40" s="1">
        <f t="shared" si="0"/>
        <v>0.65427509293680297</v>
      </c>
      <c r="O40" s="1">
        <f t="shared" si="1"/>
        <v>0.34572490706319703</v>
      </c>
    </row>
    <row r="41" spans="1:15" x14ac:dyDescent="0.25">
      <c r="A41" t="s">
        <v>125</v>
      </c>
      <c r="B41" t="s">
        <v>126</v>
      </c>
      <c r="C41" t="s">
        <v>127</v>
      </c>
      <c r="D41">
        <v>10.029999999999999</v>
      </c>
      <c r="E41">
        <v>6.86</v>
      </c>
      <c r="F41">
        <v>21.26</v>
      </c>
      <c r="G41">
        <v>45.9</v>
      </c>
      <c r="H41">
        <v>32.9</v>
      </c>
      <c r="I41">
        <v>2</v>
      </c>
      <c r="J41">
        <v>0</v>
      </c>
      <c r="K41" t="s">
        <v>18</v>
      </c>
      <c r="L41">
        <v>269</v>
      </c>
      <c r="M41">
        <v>101</v>
      </c>
      <c r="N41" s="1">
        <f t="shared" si="0"/>
        <v>0.62453531598513012</v>
      </c>
      <c r="O41" s="1">
        <f t="shared" si="1"/>
        <v>0.37546468401486988</v>
      </c>
    </row>
    <row r="42" spans="1:15" x14ac:dyDescent="0.25">
      <c r="A42" t="s">
        <v>128</v>
      </c>
      <c r="B42" t="s">
        <v>129</v>
      </c>
      <c r="C42" t="s">
        <v>130</v>
      </c>
      <c r="D42">
        <v>10.01</v>
      </c>
      <c r="E42">
        <v>5.93</v>
      </c>
      <c r="F42">
        <v>21.21</v>
      </c>
      <c r="G42">
        <v>59</v>
      </c>
      <c r="H42">
        <v>0</v>
      </c>
      <c r="I42">
        <v>1</v>
      </c>
      <c r="J42">
        <v>0</v>
      </c>
      <c r="K42" t="s">
        <v>18</v>
      </c>
      <c r="L42">
        <v>269</v>
      </c>
      <c r="M42">
        <v>102</v>
      </c>
      <c r="N42" s="1">
        <f t="shared" si="0"/>
        <v>0.620817843866171</v>
      </c>
      <c r="O42" s="1">
        <f t="shared" si="1"/>
        <v>0.379182156133829</v>
      </c>
    </row>
    <row r="43" spans="1:15" x14ac:dyDescent="0.25">
      <c r="A43" t="s">
        <v>131</v>
      </c>
      <c r="B43" t="s">
        <v>132</v>
      </c>
      <c r="C43" t="s">
        <v>133</v>
      </c>
      <c r="D43">
        <v>9.48</v>
      </c>
      <c r="E43">
        <v>5.1100000000000003</v>
      </c>
      <c r="F43">
        <v>20.03</v>
      </c>
      <c r="G43">
        <v>42.03</v>
      </c>
      <c r="H43">
        <v>32.85</v>
      </c>
      <c r="I43">
        <v>0.84</v>
      </c>
      <c r="J43">
        <v>0</v>
      </c>
      <c r="K43" t="s">
        <v>18</v>
      </c>
      <c r="L43">
        <v>269</v>
      </c>
      <c r="M43">
        <v>110</v>
      </c>
      <c r="N43" s="1">
        <f t="shared" si="0"/>
        <v>0.59107806691449816</v>
      </c>
      <c r="O43" s="1">
        <f t="shared" si="1"/>
        <v>0.40892193308550184</v>
      </c>
    </row>
    <row r="44" spans="1:15" x14ac:dyDescent="0.25">
      <c r="A44" t="s">
        <v>134</v>
      </c>
      <c r="B44" t="s">
        <v>132</v>
      </c>
      <c r="C44" t="s">
        <v>133</v>
      </c>
      <c r="D44">
        <v>9.16</v>
      </c>
      <c r="E44">
        <v>5.1100000000000003</v>
      </c>
      <c r="F44">
        <v>19.329999999999998</v>
      </c>
      <c r="G44">
        <v>35.33</v>
      </c>
      <c r="H44">
        <v>42.3</v>
      </c>
      <c r="I44">
        <v>0.95</v>
      </c>
      <c r="J44">
        <v>0</v>
      </c>
      <c r="K44" t="s">
        <v>18</v>
      </c>
      <c r="L44">
        <v>269</v>
      </c>
      <c r="M44">
        <v>122</v>
      </c>
      <c r="N44" s="1">
        <f t="shared" si="0"/>
        <v>0.54646840148698883</v>
      </c>
      <c r="O44" s="1">
        <f t="shared" si="1"/>
        <v>0.45353159851301117</v>
      </c>
    </row>
    <row r="45" spans="1:15" x14ac:dyDescent="0.25">
      <c r="A45" t="s">
        <v>135</v>
      </c>
      <c r="B45" t="s">
        <v>136</v>
      </c>
      <c r="C45" t="s">
        <v>137</v>
      </c>
      <c r="D45">
        <v>9.15</v>
      </c>
      <c r="E45">
        <v>4.96</v>
      </c>
      <c r="F45">
        <v>19.309999999999999</v>
      </c>
      <c r="G45">
        <v>58.67</v>
      </c>
      <c r="H45">
        <v>28.13</v>
      </c>
      <c r="I45">
        <v>0.96</v>
      </c>
      <c r="J45">
        <v>0</v>
      </c>
      <c r="K45" t="s">
        <v>18</v>
      </c>
      <c r="L45">
        <v>269</v>
      </c>
      <c r="M45">
        <v>122</v>
      </c>
      <c r="N45" s="1">
        <f t="shared" si="0"/>
        <v>0.54646840148698883</v>
      </c>
      <c r="O45" s="1">
        <f t="shared" si="1"/>
        <v>0.45353159851301117</v>
      </c>
    </row>
    <row r="46" spans="1:15" x14ac:dyDescent="0.25">
      <c r="A46" t="s">
        <v>138</v>
      </c>
      <c r="B46" t="s">
        <v>139</v>
      </c>
      <c r="C46" t="s">
        <v>140</v>
      </c>
      <c r="D46">
        <v>9.14</v>
      </c>
      <c r="E46">
        <v>4.45</v>
      </c>
      <c r="F46">
        <v>19.3</v>
      </c>
      <c r="G46">
        <v>45</v>
      </c>
      <c r="H46">
        <v>27</v>
      </c>
      <c r="I46">
        <v>1</v>
      </c>
      <c r="J46">
        <v>0</v>
      </c>
      <c r="K46" t="s">
        <v>18</v>
      </c>
      <c r="L46">
        <v>269</v>
      </c>
      <c r="M46">
        <v>122</v>
      </c>
      <c r="N46" s="1">
        <f t="shared" si="0"/>
        <v>0.54646840148698883</v>
      </c>
      <c r="O46" s="1">
        <f t="shared" si="1"/>
        <v>0.45353159851301117</v>
      </c>
    </row>
    <row r="47" spans="1:15" x14ac:dyDescent="0.25">
      <c r="A47" t="s">
        <v>141</v>
      </c>
      <c r="B47" t="s">
        <v>142</v>
      </c>
      <c r="C47" t="s">
        <v>143</v>
      </c>
      <c r="D47">
        <v>9.07</v>
      </c>
      <c r="E47">
        <v>10.76</v>
      </c>
      <c r="F47">
        <v>19.13</v>
      </c>
      <c r="G47">
        <v>50</v>
      </c>
      <c r="H47">
        <v>24.5</v>
      </c>
      <c r="I47">
        <v>2</v>
      </c>
      <c r="J47">
        <v>3</v>
      </c>
      <c r="K47" t="s">
        <v>18</v>
      </c>
      <c r="L47">
        <v>269</v>
      </c>
      <c r="M47">
        <v>123</v>
      </c>
      <c r="N47" s="1">
        <f t="shared" si="0"/>
        <v>0.54275092936802971</v>
      </c>
      <c r="O47" s="1">
        <f t="shared" si="1"/>
        <v>0.45724907063197023</v>
      </c>
    </row>
    <row r="48" spans="1:15" x14ac:dyDescent="0.25">
      <c r="A48" t="s">
        <v>144</v>
      </c>
      <c r="B48" t="s">
        <v>145</v>
      </c>
      <c r="C48" t="s">
        <v>146</v>
      </c>
      <c r="D48">
        <v>9.0399999999999991</v>
      </c>
      <c r="E48">
        <v>8.1199999999999992</v>
      </c>
      <c r="F48">
        <v>19.079999999999998</v>
      </c>
      <c r="G48">
        <v>36</v>
      </c>
      <c r="H48">
        <v>54.24</v>
      </c>
      <c r="I48">
        <v>0.99</v>
      </c>
      <c r="J48">
        <v>0</v>
      </c>
      <c r="K48" t="s">
        <v>18</v>
      </c>
      <c r="L48">
        <v>269</v>
      </c>
      <c r="M48">
        <v>123</v>
      </c>
      <c r="N48" s="1">
        <f t="shared" si="0"/>
        <v>0.54275092936802971</v>
      </c>
      <c r="O48" s="1">
        <f t="shared" si="1"/>
        <v>0.45724907063197023</v>
      </c>
    </row>
    <row r="49" spans="1:15" x14ac:dyDescent="0.25">
      <c r="A49" t="s">
        <v>147</v>
      </c>
      <c r="B49" t="s">
        <v>148</v>
      </c>
      <c r="C49" t="s">
        <v>86</v>
      </c>
      <c r="D49">
        <v>8.98</v>
      </c>
      <c r="E49">
        <v>5.82</v>
      </c>
      <c r="F49">
        <v>18.93</v>
      </c>
      <c r="G49">
        <v>54.5</v>
      </c>
      <c r="H49">
        <v>13.42</v>
      </c>
      <c r="I49">
        <v>1.85</v>
      </c>
      <c r="J49">
        <v>0</v>
      </c>
      <c r="K49" t="s">
        <v>18</v>
      </c>
      <c r="L49">
        <v>269</v>
      </c>
      <c r="M49">
        <v>124</v>
      </c>
      <c r="N49" s="1">
        <f t="shared" si="0"/>
        <v>0.5390334572490707</v>
      </c>
      <c r="O49" s="1">
        <f t="shared" si="1"/>
        <v>0.46096654275092935</v>
      </c>
    </row>
    <row r="50" spans="1:15" x14ac:dyDescent="0.25">
      <c r="A50" t="s">
        <v>149</v>
      </c>
      <c r="B50" t="s">
        <v>150</v>
      </c>
      <c r="C50" t="s">
        <v>86</v>
      </c>
      <c r="D50">
        <v>8.98</v>
      </c>
      <c r="E50">
        <v>5.82</v>
      </c>
      <c r="F50">
        <v>18.93</v>
      </c>
      <c r="G50">
        <v>54.5</v>
      </c>
      <c r="H50">
        <v>13.42</v>
      </c>
      <c r="I50">
        <v>1.85</v>
      </c>
      <c r="J50">
        <v>0</v>
      </c>
      <c r="K50" t="s">
        <v>18</v>
      </c>
      <c r="L50">
        <v>269</v>
      </c>
      <c r="M50">
        <v>124</v>
      </c>
      <c r="N50" s="1">
        <f t="shared" si="0"/>
        <v>0.5390334572490707</v>
      </c>
      <c r="O50" s="1">
        <f t="shared" si="1"/>
        <v>0.46096654275092935</v>
      </c>
    </row>
    <row r="51" spans="1:15" x14ac:dyDescent="0.25">
      <c r="A51" t="s">
        <v>151</v>
      </c>
      <c r="B51" t="s">
        <v>152</v>
      </c>
      <c r="C51" t="s">
        <v>86</v>
      </c>
      <c r="D51">
        <v>8.98</v>
      </c>
      <c r="E51">
        <v>5.82</v>
      </c>
      <c r="F51">
        <v>18.93</v>
      </c>
      <c r="G51">
        <v>54.5</v>
      </c>
      <c r="H51">
        <v>13.42</v>
      </c>
      <c r="I51">
        <v>1.85</v>
      </c>
      <c r="J51">
        <v>0</v>
      </c>
      <c r="K51" t="s">
        <v>18</v>
      </c>
      <c r="L51">
        <v>269</v>
      </c>
      <c r="M51">
        <v>124</v>
      </c>
      <c r="N51" s="1">
        <f t="shared" si="0"/>
        <v>0.5390334572490707</v>
      </c>
      <c r="O51" s="1">
        <f t="shared" si="1"/>
        <v>0.46096654275092935</v>
      </c>
    </row>
    <row r="52" spans="1:15" x14ac:dyDescent="0.25">
      <c r="A52" t="s">
        <v>153</v>
      </c>
      <c r="B52" t="s">
        <v>154</v>
      </c>
      <c r="C52" t="s">
        <v>86</v>
      </c>
      <c r="D52">
        <v>8.98</v>
      </c>
      <c r="E52">
        <v>5.82</v>
      </c>
      <c r="F52">
        <v>18.93</v>
      </c>
      <c r="G52">
        <v>54.5</v>
      </c>
      <c r="H52">
        <v>13.42</v>
      </c>
      <c r="I52">
        <v>1.85</v>
      </c>
      <c r="J52">
        <v>0</v>
      </c>
      <c r="K52" t="s">
        <v>18</v>
      </c>
      <c r="L52">
        <v>269</v>
      </c>
      <c r="M52">
        <v>124</v>
      </c>
      <c r="N52" s="1">
        <f t="shared" si="0"/>
        <v>0.5390334572490707</v>
      </c>
      <c r="O52" s="1">
        <f t="shared" si="1"/>
        <v>0.46096654275092935</v>
      </c>
    </row>
    <row r="53" spans="1:15" x14ac:dyDescent="0.25">
      <c r="A53" t="s">
        <v>155</v>
      </c>
      <c r="B53" t="s">
        <v>156</v>
      </c>
      <c r="C53" t="s">
        <v>86</v>
      </c>
      <c r="D53">
        <v>8.7100000000000009</v>
      </c>
      <c r="E53">
        <v>5.82</v>
      </c>
      <c r="F53">
        <v>18.34</v>
      </c>
      <c r="G53">
        <v>54.5</v>
      </c>
      <c r="H53">
        <v>13.42</v>
      </c>
      <c r="I53">
        <v>1.85</v>
      </c>
      <c r="J53">
        <v>0</v>
      </c>
      <c r="K53" t="s">
        <v>18</v>
      </c>
      <c r="L53">
        <v>269</v>
      </c>
      <c r="M53">
        <v>128</v>
      </c>
      <c r="N53" s="1">
        <f t="shared" si="0"/>
        <v>0.52416356877323422</v>
      </c>
      <c r="O53" s="1">
        <f t="shared" si="1"/>
        <v>0.47583643122676578</v>
      </c>
    </row>
    <row r="54" spans="1:15" x14ac:dyDescent="0.25">
      <c r="A54" t="s">
        <v>157</v>
      </c>
      <c r="B54" t="s">
        <v>158</v>
      </c>
      <c r="C54" t="s">
        <v>86</v>
      </c>
      <c r="D54">
        <v>8.7100000000000009</v>
      </c>
      <c r="E54">
        <v>5.82</v>
      </c>
      <c r="F54">
        <v>18.34</v>
      </c>
      <c r="G54">
        <v>54.5</v>
      </c>
      <c r="H54">
        <v>13.42</v>
      </c>
      <c r="I54">
        <v>1.85</v>
      </c>
      <c r="J54">
        <v>0</v>
      </c>
      <c r="K54" t="s">
        <v>18</v>
      </c>
      <c r="L54">
        <v>269</v>
      </c>
      <c r="M54">
        <v>128</v>
      </c>
      <c r="N54" s="1">
        <f t="shared" si="0"/>
        <v>0.52416356877323422</v>
      </c>
      <c r="O54" s="1">
        <f t="shared" si="1"/>
        <v>0.47583643122676578</v>
      </c>
    </row>
    <row r="55" spans="1:15" x14ac:dyDescent="0.25">
      <c r="A55" t="s">
        <v>159</v>
      </c>
      <c r="B55" t="s">
        <v>160</v>
      </c>
      <c r="C55" t="s">
        <v>86</v>
      </c>
      <c r="D55">
        <v>8.7100000000000009</v>
      </c>
      <c r="E55">
        <v>5.82</v>
      </c>
      <c r="F55">
        <v>18.34</v>
      </c>
      <c r="G55">
        <v>54.5</v>
      </c>
      <c r="H55">
        <v>13.42</v>
      </c>
      <c r="I55">
        <v>1.85</v>
      </c>
      <c r="J55">
        <v>0</v>
      </c>
      <c r="K55" t="s">
        <v>18</v>
      </c>
      <c r="L55">
        <v>269</v>
      </c>
      <c r="M55">
        <v>128</v>
      </c>
      <c r="N55" s="1">
        <f t="shared" si="0"/>
        <v>0.52416356877323422</v>
      </c>
      <c r="O55" s="1">
        <f t="shared" si="1"/>
        <v>0.47583643122676578</v>
      </c>
    </row>
    <row r="56" spans="1:15" x14ac:dyDescent="0.25">
      <c r="A56" t="s">
        <v>161</v>
      </c>
      <c r="B56" t="s">
        <v>162</v>
      </c>
      <c r="C56" t="s">
        <v>86</v>
      </c>
      <c r="D56">
        <v>8.7100000000000009</v>
      </c>
      <c r="E56">
        <v>5.82</v>
      </c>
      <c r="F56">
        <v>18.34</v>
      </c>
      <c r="G56">
        <v>54.5</v>
      </c>
      <c r="H56">
        <v>13.42</v>
      </c>
      <c r="I56">
        <v>1.85</v>
      </c>
      <c r="J56">
        <v>0</v>
      </c>
      <c r="K56" t="s">
        <v>18</v>
      </c>
      <c r="L56">
        <v>269</v>
      </c>
      <c r="M56">
        <v>128</v>
      </c>
      <c r="N56" s="1">
        <f t="shared" si="0"/>
        <v>0.52416356877323422</v>
      </c>
      <c r="O56" s="1">
        <f t="shared" si="1"/>
        <v>0.47583643122676578</v>
      </c>
    </row>
    <row r="57" spans="1:15" x14ac:dyDescent="0.25">
      <c r="A57" t="s">
        <v>163</v>
      </c>
      <c r="B57" t="s">
        <v>164</v>
      </c>
      <c r="C57" t="s">
        <v>86</v>
      </c>
      <c r="D57">
        <v>8.7100000000000009</v>
      </c>
      <c r="E57">
        <v>5.82</v>
      </c>
      <c r="F57">
        <v>18.34</v>
      </c>
      <c r="G57">
        <v>54.5</v>
      </c>
      <c r="H57">
        <v>13.42</v>
      </c>
      <c r="I57">
        <v>1.85</v>
      </c>
      <c r="J57">
        <v>0</v>
      </c>
      <c r="K57" t="s">
        <v>18</v>
      </c>
      <c r="L57">
        <v>269</v>
      </c>
      <c r="M57">
        <v>128</v>
      </c>
      <c r="N57" s="1">
        <f t="shared" si="0"/>
        <v>0.52416356877323422</v>
      </c>
      <c r="O57" s="1">
        <f t="shared" si="1"/>
        <v>0.47583643122676578</v>
      </c>
    </row>
    <row r="58" spans="1:15" x14ac:dyDescent="0.25">
      <c r="A58" t="s">
        <v>165</v>
      </c>
      <c r="B58" t="s">
        <v>166</v>
      </c>
      <c r="C58" t="s">
        <v>86</v>
      </c>
      <c r="D58">
        <v>8.7100000000000009</v>
      </c>
      <c r="E58">
        <v>5.82</v>
      </c>
      <c r="F58">
        <v>18.34</v>
      </c>
      <c r="G58">
        <v>54.5</v>
      </c>
      <c r="H58">
        <v>13.42</v>
      </c>
      <c r="I58">
        <v>1.85</v>
      </c>
      <c r="J58">
        <v>0</v>
      </c>
      <c r="K58" t="s">
        <v>18</v>
      </c>
      <c r="L58">
        <v>269</v>
      </c>
      <c r="M58">
        <v>128</v>
      </c>
      <c r="N58" s="1">
        <f t="shared" si="0"/>
        <v>0.52416356877323422</v>
      </c>
      <c r="O58" s="1">
        <f t="shared" si="1"/>
        <v>0.47583643122676578</v>
      </c>
    </row>
    <row r="59" spans="1:15" x14ac:dyDescent="0.25">
      <c r="A59" t="s">
        <v>167</v>
      </c>
      <c r="B59" t="s">
        <v>168</v>
      </c>
      <c r="C59" t="s">
        <v>86</v>
      </c>
      <c r="D59">
        <v>8.7100000000000009</v>
      </c>
      <c r="E59">
        <v>5.82</v>
      </c>
      <c r="F59">
        <v>18.34</v>
      </c>
      <c r="G59">
        <v>54.5</v>
      </c>
      <c r="H59">
        <v>13.42</v>
      </c>
      <c r="I59">
        <v>1.85</v>
      </c>
      <c r="J59">
        <v>0</v>
      </c>
      <c r="K59" t="s">
        <v>18</v>
      </c>
      <c r="L59">
        <v>269</v>
      </c>
      <c r="M59">
        <v>128</v>
      </c>
      <c r="N59" s="1">
        <f t="shared" si="0"/>
        <v>0.52416356877323422</v>
      </c>
      <c r="O59" s="1">
        <f t="shared" si="1"/>
        <v>0.47583643122676578</v>
      </c>
    </row>
    <row r="60" spans="1:15" x14ac:dyDescent="0.25">
      <c r="A60" t="s">
        <v>169</v>
      </c>
      <c r="B60" t="s">
        <v>170</v>
      </c>
      <c r="C60" t="s">
        <v>86</v>
      </c>
      <c r="D60">
        <v>8.7100000000000009</v>
      </c>
      <c r="E60">
        <v>5.82</v>
      </c>
      <c r="F60">
        <v>18.34</v>
      </c>
      <c r="G60">
        <v>54.5</v>
      </c>
      <c r="H60">
        <v>13.42</v>
      </c>
      <c r="I60">
        <v>1.85</v>
      </c>
      <c r="J60">
        <v>0</v>
      </c>
      <c r="K60" t="s">
        <v>18</v>
      </c>
      <c r="L60">
        <v>269</v>
      </c>
      <c r="M60">
        <v>128</v>
      </c>
      <c r="N60" s="1">
        <f t="shared" si="0"/>
        <v>0.52416356877323422</v>
      </c>
      <c r="O60" s="1">
        <f t="shared" si="1"/>
        <v>0.47583643122676578</v>
      </c>
    </row>
    <row r="61" spans="1:15" x14ac:dyDescent="0.25">
      <c r="A61" t="s">
        <v>171</v>
      </c>
      <c r="B61" t="s">
        <v>172</v>
      </c>
      <c r="C61" t="s">
        <v>86</v>
      </c>
      <c r="D61">
        <v>8.7100000000000009</v>
      </c>
      <c r="E61">
        <v>5.82</v>
      </c>
      <c r="F61">
        <v>18.34</v>
      </c>
      <c r="G61">
        <v>54.5</v>
      </c>
      <c r="H61">
        <v>13.42</v>
      </c>
      <c r="I61">
        <v>1.85</v>
      </c>
      <c r="J61">
        <v>0</v>
      </c>
      <c r="K61" t="s">
        <v>18</v>
      </c>
      <c r="L61">
        <v>269</v>
      </c>
      <c r="M61">
        <v>128</v>
      </c>
      <c r="N61" s="1">
        <f t="shared" si="0"/>
        <v>0.52416356877323422</v>
      </c>
      <c r="O61" s="1">
        <f t="shared" si="1"/>
        <v>0.47583643122676578</v>
      </c>
    </row>
    <row r="62" spans="1:15" x14ac:dyDescent="0.25">
      <c r="A62" t="s">
        <v>173</v>
      </c>
      <c r="B62" t="s">
        <v>174</v>
      </c>
      <c r="C62" t="s">
        <v>86</v>
      </c>
      <c r="D62">
        <v>8.7100000000000009</v>
      </c>
      <c r="E62">
        <v>5.82</v>
      </c>
      <c r="F62">
        <v>18.34</v>
      </c>
      <c r="G62">
        <v>54.5</v>
      </c>
      <c r="H62">
        <v>13.42</v>
      </c>
      <c r="I62">
        <v>1.85</v>
      </c>
      <c r="J62">
        <v>0</v>
      </c>
      <c r="K62" t="s">
        <v>18</v>
      </c>
      <c r="L62">
        <v>269</v>
      </c>
      <c r="M62">
        <v>128</v>
      </c>
      <c r="N62" s="1">
        <f t="shared" si="0"/>
        <v>0.52416356877323422</v>
      </c>
      <c r="O62" s="1">
        <f t="shared" si="1"/>
        <v>0.47583643122676578</v>
      </c>
    </row>
    <row r="63" spans="1:15" x14ac:dyDescent="0.25">
      <c r="A63" t="s">
        <v>175</v>
      </c>
      <c r="B63" t="s">
        <v>176</v>
      </c>
      <c r="C63" t="s">
        <v>86</v>
      </c>
      <c r="D63">
        <v>8.7100000000000009</v>
      </c>
      <c r="E63">
        <v>5.82</v>
      </c>
      <c r="F63">
        <v>18.34</v>
      </c>
      <c r="G63">
        <v>54.5</v>
      </c>
      <c r="H63">
        <v>13.42</v>
      </c>
      <c r="I63">
        <v>1.85</v>
      </c>
      <c r="J63">
        <v>0</v>
      </c>
      <c r="K63" t="s">
        <v>18</v>
      </c>
      <c r="L63">
        <v>269</v>
      </c>
      <c r="M63">
        <v>128</v>
      </c>
      <c r="N63" s="1">
        <f t="shared" si="0"/>
        <v>0.52416356877323422</v>
      </c>
      <c r="O63" s="1">
        <f t="shared" si="1"/>
        <v>0.47583643122676578</v>
      </c>
    </row>
    <row r="64" spans="1:15" x14ac:dyDescent="0.25">
      <c r="A64" t="s">
        <v>177</v>
      </c>
      <c r="B64" t="s">
        <v>178</v>
      </c>
      <c r="C64" t="s">
        <v>179</v>
      </c>
      <c r="D64">
        <v>8.25</v>
      </c>
      <c r="E64">
        <v>5.62</v>
      </c>
      <c r="F64">
        <v>17.329999999999998</v>
      </c>
      <c r="G64">
        <v>36</v>
      </c>
      <c r="H64">
        <v>46.9</v>
      </c>
      <c r="I64">
        <v>2</v>
      </c>
      <c r="J64">
        <v>0</v>
      </c>
      <c r="K64" t="s">
        <v>18</v>
      </c>
      <c r="L64">
        <v>269</v>
      </c>
      <c r="M64">
        <v>139</v>
      </c>
      <c r="N64" s="1">
        <f t="shared" si="0"/>
        <v>0.48327137546468402</v>
      </c>
      <c r="O64" s="1">
        <f t="shared" si="1"/>
        <v>0.51672862453531598</v>
      </c>
    </row>
    <row r="65" spans="1:15" x14ac:dyDescent="0.25">
      <c r="A65" t="s">
        <v>180</v>
      </c>
      <c r="B65" t="s">
        <v>181</v>
      </c>
      <c r="C65" t="s">
        <v>182</v>
      </c>
      <c r="D65">
        <v>8.23</v>
      </c>
      <c r="E65">
        <v>4.32</v>
      </c>
      <c r="F65">
        <v>17.28</v>
      </c>
      <c r="G65">
        <v>30</v>
      </c>
      <c r="H65">
        <v>49</v>
      </c>
      <c r="I65">
        <v>1</v>
      </c>
      <c r="J65">
        <v>0</v>
      </c>
      <c r="K65" t="s">
        <v>18</v>
      </c>
      <c r="L65">
        <v>269</v>
      </c>
      <c r="M65">
        <v>140</v>
      </c>
      <c r="N65" s="1">
        <f t="shared" si="0"/>
        <v>0.4795539033457249</v>
      </c>
      <c r="O65" s="1">
        <f t="shared" si="1"/>
        <v>0.5204460966542751</v>
      </c>
    </row>
    <row r="66" spans="1:15" x14ac:dyDescent="0.25">
      <c r="A66" t="s">
        <v>183</v>
      </c>
      <c r="B66" t="s">
        <v>184</v>
      </c>
      <c r="C66" t="s">
        <v>185</v>
      </c>
      <c r="D66">
        <v>8.18</v>
      </c>
      <c r="E66">
        <v>4.37</v>
      </c>
      <c r="F66">
        <v>17.18</v>
      </c>
      <c r="G66">
        <v>49.42</v>
      </c>
      <c r="H66">
        <v>38.51</v>
      </c>
      <c r="I66">
        <v>0.93</v>
      </c>
      <c r="J66">
        <v>0</v>
      </c>
      <c r="K66" t="s">
        <v>18</v>
      </c>
      <c r="L66">
        <v>269</v>
      </c>
      <c r="M66">
        <v>141</v>
      </c>
      <c r="N66" s="1">
        <f t="shared" ref="N66:N129" si="2">1-O66</f>
        <v>0.47583643122676578</v>
      </c>
      <c r="O66" s="1">
        <f t="shared" ref="O66:O129" si="3">M66/L66</f>
        <v>0.52416356877323422</v>
      </c>
    </row>
    <row r="67" spans="1:15" x14ac:dyDescent="0.25">
      <c r="A67" t="s">
        <v>186</v>
      </c>
      <c r="B67" t="s">
        <v>187</v>
      </c>
      <c r="D67">
        <v>8.11</v>
      </c>
      <c r="E67">
        <v>0</v>
      </c>
      <c r="F67">
        <v>17.03</v>
      </c>
      <c r="G67">
        <v>50</v>
      </c>
      <c r="H67">
        <v>36.799999999999997</v>
      </c>
      <c r="I67">
        <v>13.2</v>
      </c>
      <c r="J67">
        <v>0</v>
      </c>
      <c r="K67" t="s">
        <v>18</v>
      </c>
      <c r="L67">
        <v>269</v>
      </c>
      <c r="M67">
        <v>142</v>
      </c>
      <c r="N67" s="1">
        <f t="shared" si="2"/>
        <v>0.47211895910780666</v>
      </c>
      <c r="O67" s="1">
        <f t="shared" si="3"/>
        <v>0.52788104089219334</v>
      </c>
    </row>
    <row r="68" spans="1:15" x14ac:dyDescent="0.25">
      <c r="A68" t="s">
        <v>188</v>
      </c>
      <c r="B68" t="s">
        <v>189</v>
      </c>
      <c r="C68" t="s">
        <v>190</v>
      </c>
      <c r="D68">
        <v>7.93</v>
      </c>
      <c r="E68">
        <v>9.32</v>
      </c>
      <c r="F68">
        <v>16.63</v>
      </c>
      <c r="G68">
        <v>43</v>
      </c>
      <c r="H68">
        <v>31</v>
      </c>
      <c r="I68">
        <v>2</v>
      </c>
      <c r="J68">
        <v>3</v>
      </c>
      <c r="K68" t="s">
        <v>18</v>
      </c>
      <c r="L68">
        <v>269</v>
      </c>
      <c r="M68">
        <v>145</v>
      </c>
      <c r="N68" s="1">
        <f t="shared" si="2"/>
        <v>0.46096654275092941</v>
      </c>
      <c r="O68" s="1">
        <f t="shared" si="3"/>
        <v>0.53903345724907059</v>
      </c>
    </row>
    <row r="69" spans="1:15" x14ac:dyDescent="0.25">
      <c r="A69" t="s">
        <v>191</v>
      </c>
      <c r="B69" t="s">
        <v>181</v>
      </c>
      <c r="D69">
        <v>7.8</v>
      </c>
      <c r="E69">
        <v>4.32</v>
      </c>
      <c r="F69">
        <v>16.350000000000001</v>
      </c>
      <c r="G69">
        <v>32.03</v>
      </c>
      <c r="H69">
        <v>47.63</v>
      </c>
      <c r="I69">
        <v>0.97</v>
      </c>
      <c r="J69">
        <v>0</v>
      </c>
      <c r="K69" t="s">
        <v>18</v>
      </c>
      <c r="L69">
        <v>269</v>
      </c>
      <c r="M69">
        <v>149</v>
      </c>
      <c r="N69" s="1">
        <f t="shared" si="2"/>
        <v>0.44609665427509293</v>
      </c>
      <c r="O69" s="1">
        <f t="shared" si="3"/>
        <v>0.55390334572490707</v>
      </c>
    </row>
    <row r="70" spans="1:15" x14ac:dyDescent="0.25">
      <c r="A70" t="s">
        <v>192</v>
      </c>
      <c r="B70" t="s">
        <v>193</v>
      </c>
      <c r="C70" t="s">
        <v>194</v>
      </c>
      <c r="D70">
        <v>7.69</v>
      </c>
      <c r="E70">
        <v>5.99</v>
      </c>
      <c r="F70">
        <v>16.12</v>
      </c>
      <c r="G70">
        <v>55</v>
      </c>
      <c r="H70">
        <v>40</v>
      </c>
      <c r="I70">
        <v>5</v>
      </c>
      <c r="J70">
        <v>5</v>
      </c>
      <c r="K70" t="s">
        <v>18</v>
      </c>
      <c r="L70">
        <v>269</v>
      </c>
      <c r="M70">
        <v>150</v>
      </c>
      <c r="N70" s="1">
        <f t="shared" si="2"/>
        <v>0.44237918215613381</v>
      </c>
      <c r="O70" s="1">
        <f t="shared" si="3"/>
        <v>0.55762081784386619</v>
      </c>
    </row>
    <row r="71" spans="1:15" x14ac:dyDescent="0.25">
      <c r="A71" t="s">
        <v>195</v>
      </c>
      <c r="B71" t="s">
        <v>196</v>
      </c>
      <c r="C71" t="s">
        <v>197</v>
      </c>
      <c r="D71">
        <v>7.48</v>
      </c>
      <c r="E71">
        <v>4.32</v>
      </c>
      <c r="F71">
        <v>15.67</v>
      </c>
      <c r="G71">
        <v>32.86</v>
      </c>
      <c r="H71">
        <v>47.3</v>
      </c>
      <c r="I71">
        <v>0.87</v>
      </c>
      <c r="J71">
        <v>0</v>
      </c>
      <c r="K71" t="s">
        <v>18</v>
      </c>
      <c r="L71">
        <v>269</v>
      </c>
      <c r="M71">
        <v>155</v>
      </c>
      <c r="N71" s="1">
        <f t="shared" si="2"/>
        <v>0.42379182156133832</v>
      </c>
      <c r="O71" s="1">
        <f t="shared" si="3"/>
        <v>0.57620817843866168</v>
      </c>
    </row>
    <row r="72" spans="1:15" x14ac:dyDescent="0.25">
      <c r="A72" t="s">
        <v>198</v>
      </c>
      <c r="B72" t="s">
        <v>199</v>
      </c>
      <c r="C72" t="s">
        <v>200</v>
      </c>
      <c r="D72">
        <v>7.44</v>
      </c>
      <c r="E72">
        <v>4.34</v>
      </c>
      <c r="F72">
        <v>15.58</v>
      </c>
      <c r="G72">
        <v>48.64</v>
      </c>
      <c r="H72">
        <v>38.03</v>
      </c>
      <c r="I72">
        <v>0.97</v>
      </c>
      <c r="J72">
        <v>0</v>
      </c>
      <c r="K72" t="s">
        <v>18</v>
      </c>
      <c r="L72">
        <v>269</v>
      </c>
      <c r="M72">
        <v>155</v>
      </c>
      <c r="N72" s="1">
        <f t="shared" si="2"/>
        <v>0.42379182156133832</v>
      </c>
      <c r="O72" s="1">
        <f t="shared" si="3"/>
        <v>0.57620817843866168</v>
      </c>
    </row>
    <row r="73" spans="1:15" x14ac:dyDescent="0.25">
      <c r="A73" t="s">
        <v>201</v>
      </c>
      <c r="B73" t="s">
        <v>202</v>
      </c>
      <c r="C73" t="s">
        <v>203</v>
      </c>
      <c r="D73">
        <v>7.38</v>
      </c>
      <c r="E73">
        <v>8.4700000000000006</v>
      </c>
      <c r="F73">
        <v>15.44</v>
      </c>
      <c r="G73">
        <v>53.91</v>
      </c>
      <c r="H73">
        <v>7.19</v>
      </c>
      <c r="I73">
        <v>3.08</v>
      </c>
      <c r="J73">
        <v>7.4</v>
      </c>
      <c r="K73" t="s">
        <v>18</v>
      </c>
      <c r="L73">
        <v>269</v>
      </c>
      <c r="M73">
        <v>155</v>
      </c>
      <c r="N73" s="1">
        <f t="shared" si="2"/>
        <v>0.42379182156133832</v>
      </c>
      <c r="O73" s="1">
        <f t="shared" si="3"/>
        <v>0.57620817843866168</v>
      </c>
    </row>
    <row r="74" spans="1:15" x14ac:dyDescent="0.25">
      <c r="A74" t="s">
        <v>204</v>
      </c>
      <c r="B74" t="s">
        <v>205</v>
      </c>
      <c r="C74" t="s">
        <v>206</v>
      </c>
      <c r="D74">
        <v>7.34</v>
      </c>
      <c r="E74">
        <v>3.02</v>
      </c>
      <c r="F74">
        <v>15.36</v>
      </c>
      <c r="G74">
        <v>33.82</v>
      </c>
      <c r="H74">
        <v>57.41</v>
      </c>
      <c r="I74">
        <v>0.98</v>
      </c>
      <c r="J74">
        <v>4.5999999999999996</v>
      </c>
      <c r="K74" t="s">
        <v>18</v>
      </c>
      <c r="L74">
        <v>269</v>
      </c>
      <c r="M74">
        <v>155</v>
      </c>
      <c r="N74" s="1">
        <f t="shared" si="2"/>
        <v>0.42379182156133832</v>
      </c>
      <c r="O74" s="1">
        <f t="shared" si="3"/>
        <v>0.57620817843866168</v>
      </c>
    </row>
    <row r="75" spans="1:15" x14ac:dyDescent="0.25">
      <c r="A75" t="s">
        <v>207</v>
      </c>
      <c r="B75" t="s">
        <v>208</v>
      </c>
      <c r="C75" t="s">
        <v>209</v>
      </c>
      <c r="D75">
        <v>7.19</v>
      </c>
      <c r="E75">
        <v>5.36</v>
      </c>
      <c r="F75">
        <v>15.04</v>
      </c>
      <c r="G75">
        <v>20.69</v>
      </c>
      <c r="H75">
        <v>70.42</v>
      </c>
      <c r="I75">
        <v>0.99</v>
      </c>
      <c r="J75">
        <v>4.9800000000000004</v>
      </c>
      <c r="K75" t="s">
        <v>18</v>
      </c>
      <c r="L75">
        <v>269</v>
      </c>
      <c r="M75">
        <v>157</v>
      </c>
      <c r="N75" s="1">
        <f t="shared" si="2"/>
        <v>0.41635687732342008</v>
      </c>
      <c r="O75" s="1">
        <f t="shared" si="3"/>
        <v>0.58364312267657992</v>
      </c>
    </row>
    <row r="76" spans="1:15" x14ac:dyDescent="0.25">
      <c r="A76" t="s">
        <v>210</v>
      </c>
      <c r="B76" t="s">
        <v>211</v>
      </c>
      <c r="C76" t="s">
        <v>212</v>
      </c>
      <c r="D76">
        <v>6.96</v>
      </c>
      <c r="E76">
        <v>4.74</v>
      </c>
      <c r="F76">
        <v>14.54</v>
      </c>
      <c r="G76">
        <v>29.1</v>
      </c>
      <c r="H76">
        <v>56.6</v>
      </c>
      <c r="I76">
        <v>2.1</v>
      </c>
      <c r="J76">
        <v>0</v>
      </c>
      <c r="K76" t="s">
        <v>18</v>
      </c>
      <c r="L76">
        <v>269</v>
      </c>
      <c r="M76">
        <v>159</v>
      </c>
      <c r="N76" s="1">
        <f t="shared" si="2"/>
        <v>0.40892193308550184</v>
      </c>
      <c r="O76" s="1">
        <f t="shared" si="3"/>
        <v>0.59107806691449816</v>
      </c>
    </row>
    <row r="77" spans="1:15" x14ac:dyDescent="0.25">
      <c r="A77" t="s">
        <v>213</v>
      </c>
      <c r="B77" t="s">
        <v>196</v>
      </c>
      <c r="C77" t="s">
        <v>197</v>
      </c>
      <c r="D77">
        <v>6.93</v>
      </c>
      <c r="E77">
        <v>4.32</v>
      </c>
      <c r="F77">
        <v>14.46</v>
      </c>
      <c r="G77">
        <v>25.52</v>
      </c>
      <c r="H77">
        <v>57.98</v>
      </c>
      <c r="I77">
        <v>0.98</v>
      </c>
      <c r="J77">
        <v>0</v>
      </c>
      <c r="K77" t="s">
        <v>18</v>
      </c>
      <c r="L77">
        <v>269</v>
      </c>
      <c r="M77">
        <v>159</v>
      </c>
      <c r="N77" s="1">
        <f t="shared" si="2"/>
        <v>0.40892193308550184</v>
      </c>
      <c r="O77" s="1">
        <f t="shared" si="3"/>
        <v>0.59107806691449816</v>
      </c>
    </row>
    <row r="78" spans="1:15" x14ac:dyDescent="0.25">
      <c r="A78" t="s">
        <v>214</v>
      </c>
      <c r="B78" t="s">
        <v>215</v>
      </c>
      <c r="C78" t="s">
        <v>216</v>
      </c>
      <c r="D78">
        <v>6.91</v>
      </c>
      <c r="E78">
        <v>6.75</v>
      </c>
      <c r="F78">
        <v>14.42</v>
      </c>
      <c r="G78">
        <v>25.67</v>
      </c>
      <c r="H78">
        <v>64.52</v>
      </c>
      <c r="I78">
        <v>0.99</v>
      </c>
      <c r="J78">
        <v>0</v>
      </c>
      <c r="K78" t="s">
        <v>18</v>
      </c>
      <c r="L78">
        <v>269</v>
      </c>
      <c r="M78">
        <v>159</v>
      </c>
      <c r="N78" s="1">
        <f t="shared" si="2"/>
        <v>0.40892193308550184</v>
      </c>
      <c r="O78" s="1">
        <f t="shared" si="3"/>
        <v>0.59107806691449816</v>
      </c>
    </row>
    <row r="79" spans="1:15" x14ac:dyDescent="0.25">
      <c r="A79" t="s">
        <v>217</v>
      </c>
      <c r="B79" t="s">
        <v>218</v>
      </c>
      <c r="C79" t="s">
        <v>219</v>
      </c>
      <c r="D79">
        <v>6.51</v>
      </c>
      <c r="E79">
        <v>11.65</v>
      </c>
      <c r="F79">
        <v>13.56</v>
      </c>
      <c r="G79">
        <v>50.71</v>
      </c>
      <c r="H79">
        <v>19.14</v>
      </c>
      <c r="I79">
        <v>3.72</v>
      </c>
      <c r="J79">
        <v>0</v>
      </c>
      <c r="K79" t="s">
        <v>18</v>
      </c>
      <c r="L79">
        <v>269</v>
      </c>
      <c r="M79">
        <v>166</v>
      </c>
      <c r="N79" s="1">
        <f t="shared" si="2"/>
        <v>0.38289962825278812</v>
      </c>
      <c r="O79" s="1">
        <f t="shared" si="3"/>
        <v>0.61710037174721188</v>
      </c>
    </row>
    <row r="80" spans="1:15" x14ac:dyDescent="0.25">
      <c r="A80" t="s">
        <v>220</v>
      </c>
      <c r="B80" t="s">
        <v>221</v>
      </c>
      <c r="C80" t="s">
        <v>222</v>
      </c>
      <c r="D80">
        <v>6.45</v>
      </c>
      <c r="E80">
        <v>4.07</v>
      </c>
      <c r="F80">
        <v>13.44</v>
      </c>
      <c r="G80">
        <v>23</v>
      </c>
      <c r="H80">
        <v>58</v>
      </c>
      <c r="I80">
        <v>1</v>
      </c>
      <c r="J80">
        <v>9</v>
      </c>
      <c r="K80" t="s">
        <v>18</v>
      </c>
      <c r="L80">
        <v>269</v>
      </c>
      <c r="M80">
        <v>167</v>
      </c>
      <c r="N80" s="1">
        <f t="shared" si="2"/>
        <v>0.379182156133829</v>
      </c>
      <c r="O80" s="1">
        <f t="shared" si="3"/>
        <v>0.620817843866171</v>
      </c>
    </row>
    <row r="81" spans="1:15" x14ac:dyDescent="0.25">
      <c r="A81" t="s">
        <v>223</v>
      </c>
      <c r="B81" t="s">
        <v>224</v>
      </c>
      <c r="C81" t="s">
        <v>225</v>
      </c>
      <c r="D81">
        <v>6.45</v>
      </c>
      <c r="E81">
        <v>4.07</v>
      </c>
      <c r="F81">
        <v>13.44</v>
      </c>
      <c r="G81">
        <v>23</v>
      </c>
      <c r="H81">
        <v>58</v>
      </c>
      <c r="I81">
        <v>1</v>
      </c>
      <c r="J81">
        <v>9</v>
      </c>
      <c r="K81" t="s">
        <v>18</v>
      </c>
      <c r="L81">
        <v>269</v>
      </c>
      <c r="M81">
        <v>167</v>
      </c>
      <c r="N81" s="1">
        <f t="shared" si="2"/>
        <v>0.379182156133829</v>
      </c>
      <c r="O81" s="1">
        <f t="shared" si="3"/>
        <v>0.620817843866171</v>
      </c>
    </row>
    <row r="82" spans="1:15" x14ac:dyDescent="0.25">
      <c r="A82" t="s">
        <v>226</v>
      </c>
      <c r="B82" t="s">
        <v>227</v>
      </c>
      <c r="C82" t="s">
        <v>228</v>
      </c>
      <c r="D82">
        <v>6.44</v>
      </c>
      <c r="E82">
        <v>4.12</v>
      </c>
      <c r="F82">
        <v>13.42</v>
      </c>
      <c r="G82">
        <v>28</v>
      </c>
      <c r="H82">
        <v>48</v>
      </c>
      <c r="I82">
        <v>8</v>
      </c>
      <c r="J82">
        <v>0</v>
      </c>
      <c r="K82" t="s">
        <v>18</v>
      </c>
      <c r="L82">
        <v>269</v>
      </c>
      <c r="M82">
        <v>167</v>
      </c>
      <c r="N82" s="1">
        <f t="shared" si="2"/>
        <v>0.379182156133829</v>
      </c>
      <c r="O82" s="1">
        <f t="shared" si="3"/>
        <v>0.620817843866171</v>
      </c>
    </row>
    <row r="83" spans="1:15" x14ac:dyDescent="0.25">
      <c r="A83" t="s">
        <v>229</v>
      </c>
      <c r="B83" t="s">
        <v>230</v>
      </c>
      <c r="C83" t="s">
        <v>231</v>
      </c>
      <c r="D83">
        <v>6.4</v>
      </c>
      <c r="E83">
        <v>4.41</v>
      </c>
      <c r="F83">
        <v>13.33</v>
      </c>
      <c r="G83">
        <v>30</v>
      </c>
      <c r="H83">
        <v>43</v>
      </c>
      <c r="I83">
        <v>8</v>
      </c>
      <c r="J83">
        <v>0</v>
      </c>
      <c r="K83" t="s">
        <v>18</v>
      </c>
      <c r="L83">
        <v>269</v>
      </c>
      <c r="M83">
        <v>168</v>
      </c>
      <c r="N83" s="1">
        <f t="shared" si="2"/>
        <v>0.37546468401486988</v>
      </c>
      <c r="O83" s="1">
        <f t="shared" si="3"/>
        <v>0.62453531598513012</v>
      </c>
    </row>
    <row r="84" spans="1:15" x14ac:dyDescent="0.25">
      <c r="A84" t="s">
        <v>232</v>
      </c>
      <c r="B84" t="s">
        <v>233</v>
      </c>
      <c r="C84" t="s">
        <v>234</v>
      </c>
      <c r="D84">
        <v>6.17</v>
      </c>
      <c r="F84">
        <v>12.84</v>
      </c>
      <c r="G84">
        <v>47.87</v>
      </c>
      <c r="H84">
        <v>50.3</v>
      </c>
      <c r="I84">
        <v>1.83</v>
      </c>
      <c r="J84">
        <v>0</v>
      </c>
      <c r="K84" t="s">
        <v>18</v>
      </c>
      <c r="L84">
        <v>269</v>
      </c>
      <c r="M84">
        <v>173</v>
      </c>
      <c r="N84" s="1">
        <f t="shared" si="2"/>
        <v>0.35687732342007439</v>
      </c>
      <c r="O84" s="1">
        <f t="shared" si="3"/>
        <v>0.64312267657992561</v>
      </c>
    </row>
    <row r="85" spans="1:15" x14ac:dyDescent="0.25">
      <c r="A85" t="s">
        <v>235</v>
      </c>
      <c r="B85" t="s">
        <v>236</v>
      </c>
      <c r="C85" t="s">
        <v>237</v>
      </c>
      <c r="D85">
        <v>6</v>
      </c>
      <c r="E85">
        <v>3.25</v>
      </c>
      <c r="F85">
        <v>12.48</v>
      </c>
      <c r="G85">
        <v>22</v>
      </c>
      <c r="H85">
        <v>66</v>
      </c>
      <c r="I85">
        <v>1</v>
      </c>
      <c r="J85">
        <v>0</v>
      </c>
      <c r="K85" t="s">
        <v>18</v>
      </c>
      <c r="L85">
        <v>269</v>
      </c>
      <c r="M85">
        <v>176</v>
      </c>
      <c r="N85" s="1">
        <f t="shared" si="2"/>
        <v>0.34572490706319703</v>
      </c>
      <c r="O85" s="1">
        <f t="shared" si="3"/>
        <v>0.65427509293680297</v>
      </c>
    </row>
    <row r="86" spans="1:15" x14ac:dyDescent="0.25">
      <c r="A86" t="s">
        <v>238</v>
      </c>
      <c r="B86" t="s">
        <v>239</v>
      </c>
      <c r="C86" t="s">
        <v>240</v>
      </c>
      <c r="D86">
        <v>5.8</v>
      </c>
      <c r="E86">
        <v>10.039999999999999</v>
      </c>
      <c r="F86">
        <v>12.04</v>
      </c>
      <c r="G86">
        <v>46.22</v>
      </c>
      <c r="H86">
        <v>38.04</v>
      </c>
      <c r="I86">
        <v>4.5</v>
      </c>
      <c r="J86">
        <v>0</v>
      </c>
      <c r="K86" t="s">
        <v>18</v>
      </c>
      <c r="L86">
        <v>269</v>
      </c>
      <c r="M86">
        <v>179</v>
      </c>
      <c r="N86" s="1">
        <f t="shared" si="2"/>
        <v>0.33457249070631967</v>
      </c>
      <c r="O86" s="1">
        <f t="shared" si="3"/>
        <v>0.66542750929368033</v>
      </c>
    </row>
    <row r="87" spans="1:15" x14ac:dyDescent="0.25">
      <c r="A87" t="s">
        <v>241</v>
      </c>
      <c r="B87" t="s">
        <v>242</v>
      </c>
      <c r="C87" t="s">
        <v>243</v>
      </c>
      <c r="D87">
        <v>5.49</v>
      </c>
      <c r="E87">
        <v>3.54</v>
      </c>
      <c r="F87">
        <v>11.38</v>
      </c>
      <c r="G87">
        <v>36.93</v>
      </c>
      <c r="H87">
        <v>49.87</v>
      </c>
      <c r="I87">
        <v>0.97</v>
      </c>
      <c r="J87">
        <v>0</v>
      </c>
      <c r="K87" t="s">
        <v>18</v>
      </c>
      <c r="L87">
        <v>269</v>
      </c>
      <c r="M87">
        <v>185</v>
      </c>
      <c r="N87" s="1">
        <f t="shared" si="2"/>
        <v>0.31226765799256506</v>
      </c>
      <c r="O87" s="1">
        <f t="shared" si="3"/>
        <v>0.68773234200743494</v>
      </c>
    </row>
    <row r="88" spans="1:15" x14ac:dyDescent="0.25">
      <c r="A88" t="s">
        <v>244</v>
      </c>
      <c r="B88" t="s">
        <v>245</v>
      </c>
      <c r="C88" t="s">
        <v>234</v>
      </c>
      <c r="D88">
        <v>5.34</v>
      </c>
      <c r="F88">
        <v>11.06</v>
      </c>
      <c r="G88">
        <v>22.44</v>
      </c>
      <c r="H88">
        <v>75.66</v>
      </c>
      <c r="I88">
        <v>1.9</v>
      </c>
      <c r="J88">
        <v>0</v>
      </c>
      <c r="K88" t="s">
        <v>18</v>
      </c>
      <c r="L88">
        <v>269</v>
      </c>
      <c r="M88">
        <v>188</v>
      </c>
      <c r="N88" s="1">
        <f t="shared" si="2"/>
        <v>0.3011152416356877</v>
      </c>
      <c r="O88" s="1">
        <f t="shared" si="3"/>
        <v>0.6988847583643123</v>
      </c>
    </row>
    <row r="89" spans="1:15" x14ac:dyDescent="0.25">
      <c r="A89" t="s">
        <v>246</v>
      </c>
      <c r="B89" t="s">
        <v>247</v>
      </c>
      <c r="C89" t="s">
        <v>248</v>
      </c>
      <c r="D89">
        <v>5.22</v>
      </c>
      <c r="E89">
        <v>6.33</v>
      </c>
      <c r="F89">
        <v>10.81</v>
      </c>
      <c r="G89">
        <v>37.299999999999997</v>
      </c>
      <c r="H89">
        <v>7.9</v>
      </c>
      <c r="I89">
        <v>1.92</v>
      </c>
      <c r="J89">
        <v>0</v>
      </c>
      <c r="K89" t="s">
        <v>18</v>
      </c>
      <c r="L89">
        <v>269</v>
      </c>
      <c r="M89">
        <v>192</v>
      </c>
      <c r="N89" s="1">
        <f t="shared" si="2"/>
        <v>0.28624535315985133</v>
      </c>
      <c r="O89" s="1">
        <f t="shared" si="3"/>
        <v>0.71375464684014867</v>
      </c>
    </row>
    <row r="90" spans="1:15" x14ac:dyDescent="0.25">
      <c r="A90" t="s">
        <v>249</v>
      </c>
      <c r="B90" t="s">
        <v>250</v>
      </c>
      <c r="D90">
        <v>5.12</v>
      </c>
      <c r="E90">
        <v>0</v>
      </c>
      <c r="F90">
        <v>10.59</v>
      </c>
      <c r="G90">
        <v>23</v>
      </c>
      <c r="H90">
        <v>36</v>
      </c>
      <c r="I90">
        <v>1</v>
      </c>
      <c r="J90">
        <v>0</v>
      </c>
      <c r="K90" t="s">
        <v>18</v>
      </c>
      <c r="L90">
        <v>269</v>
      </c>
      <c r="M90">
        <v>193</v>
      </c>
      <c r="N90" s="1">
        <f t="shared" si="2"/>
        <v>0.28252788104089221</v>
      </c>
      <c r="O90" s="1">
        <f t="shared" si="3"/>
        <v>0.71747211895910779</v>
      </c>
    </row>
    <row r="91" spans="1:15" x14ac:dyDescent="0.25">
      <c r="A91" t="s">
        <v>251</v>
      </c>
      <c r="B91" t="s">
        <v>252</v>
      </c>
      <c r="C91" t="s">
        <v>253</v>
      </c>
      <c r="D91">
        <v>5</v>
      </c>
      <c r="E91">
        <v>3.3</v>
      </c>
      <c r="F91">
        <v>10.34</v>
      </c>
      <c r="G91">
        <v>32.18</v>
      </c>
      <c r="H91">
        <v>41.14</v>
      </c>
      <c r="I91">
        <v>8.94</v>
      </c>
      <c r="J91">
        <v>0</v>
      </c>
      <c r="K91" t="s">
        <v>18</v>
      </c>
      <c r="L91">
        <v>269</v>
      </c>
      <c r="M91">
        <v>193</v>
      </c>
      <c r="N91" s="1">
        <f t="shared" si="2"/>
        <v>0.28252788104089221</v>
      </c>
      <c r="O91" s="1">
        <f t="shared" si="3"/>
        <v>0.71747211895910779</v>
      </c>
    </row>
    <row r="92" spans="1:15" x14ac:dyDescent="0.25">
      <c r="A92" t="s">
        <v>254</v>
      </c>
      <c r="B92" t="s">
        <v>255</v>
      </c>
      <c r="C92" t="s">
        <v>256</v>
      </c>
      <c r="D92">
        <v>4.7699999999999996</v>
      </c>
      <c r="E92">
        <v>2.33</v>
      </c>
      <c r="F92">
        <v>9.86</v>
      </c>
      <c r="G92">
        <v>23.44</v>
      </c>
      <c r="H92">
        <v>69.760000000000005</v>
      </c>
      <c r="I92">
        <v>0.85</v>
      </c>
      <c r="J92">
        <v>0</v>
      </c>
      <c r="K92" t="s">
        <v>18</v>
      </c>
      <c r="L92">
        <v>269</v>
      </c>
      <c r="M92">
        <v>195</v>
      </c>
      <c r="N92" s="1">
        <f t="shared" si="2"/>
        <v>0.27509293680297398</v>
      </c>
      <c r="O92" s="1">
        <f t="shared" si="3"/>
        <v>0.72490706319702602</v>
      </c>
    </row>
    <row r="93" spans="1:15" x14ac:dyDescent="0.25">
      <c r="A93" t="s">
        <v>257</v>
      </c>
      <c r="B93" t="s">
        <v>258</v>
      </c>
      <c r="C93" t="s">
        <v>234</v>
      </c>
      <c r="D93">
        <v>4.67</v>
      </c>
      <c r="F93">
        <v>9.65</v>
      </c>
      <c r="G93">
        <v>33.31</v>
      </c>
      <c r="H93">
        <v>64.81</v>
      </c>
      <c r="I93">
        <v>1.88</v>
      </c>
      <c r="J93">
        <v>0</v>
      </c>
      <c r="K93" t="s">
        <v>18</v>
      </c>
      <c r="L93">
        <v>269</v>
      </c>
      <c r="M93">
        <v>197</v>
      </c>
      <c r="N93" s="1">
        <f t="shared" si="2"/>
        <v>0.26765799256505574</v>
      </c>
      <c r="O93" s="1">
        <f t="shared" si="3"/>
        <v>0.73234200743494426</v>
      </c>
    </row>
    <row r="94" spans="1:15" x14ac:dyDescent="0.25">
      <c r="A94" t="s">
        <v>259</v>
      </c>
      <c r="B94" t="s">
        <v>260</v>
      </c>
      <c r="C94" t="s">
        <v>261</v>
      </c>
      <c r="D94">
        <v>4.54</v>
      </c>
      <c r="E94">
        <v>12.45</v>
      </c>
      <c r="F94">
        <v>9.36</v>
      </c>
      <c r="G94">
        <v>27.2</v>
      </c>
      <c r="H94">
        <v>34.630000000000003</v>
      </c>
      <c r="I94">
        <v>1.02</v>
      </c>
      <c r="J94">
        <v>2.9</v>
      </c>
      <c r="K94" t="s">
        <v>18</v>
      </c>
      <c r="L94">
        <v>269</v>
      </c>
      <c r="M94">
        <v>198</v>
      </c>
      <c r="N94" s="1">
        <f t="shared" si="2"/>
        <v>0.26394052044609662</v>
      </c>
      <c r="O94" s="1">
        <f t="shared" si="3"/>
        <v>0.73605947955390338</v>
      </c>
    </row>
    <row r="95" spans="1:15" x14ac:dyDescent="0.25">
      <c r="A95" t="s">
        <v>262</v>
      </c>
      <c r="B95" t="s">
        <v>263</v>
      </c>
      <c r="C95" t="s">
        <v>264</v>
      </c>
      <c r="D95">
        <v>4.43</v>
      </c>
      <c r="E95">
        <v>3.53</v>
      </c>
      <c r="F95">
        <v>9.1300000000000008</v>
      </c>
      <c r="G95">
        <v>21</v>
      </c>
      <c r="H95">
        <v>69</v>
      </c>
      <c r="I95">
        <v>6</v>
      </c>
      <c r="J95">
        <v>3.4</v>
      </c>
      <c r="K95" t="s">
        <v>18</v>
      </c>
      <c r="L95">
        <v>269</v>
      </c>
      <c r="M95">
        <v>199</v>
      </c>
      <c r="N95" s="1">
        <f t="shared" si="2"/>
        <v>0.2602230483271375</v>
      </c>
      <c r="O95" s="1">
        <f t="shared" si="3"/>
        <v>0.7397769516728625</v>
      </c>
    </row>
    <row r="96" spans="1:15" x14ac:dyDescent="0.25">
      <c r="A96" t="s">
        <v>265</v>
      </c>
      <c r="B96" t="s">
        <v>266</v>
      </c>
      <c r="C96" t="s">
        <v>267</v>
      </c>
      <c r="D96">
        <v>4.34</v>
      </c>
      <c r="E96">
        <v>4.55</v>
      </c>
      <c r="F96">
        <v>8.94</v>
      </c>
      <c r="G96">
        <v>29</v>
      </c>
      <c r="H96">
        <v>54</v>
      </c>
      <c r="I96">
        <v>2</v>
      </c>
      <c r="J96">
        <v>8</v>
      </c>
      <c r="K96" t="s">
        <v>18</v>
      </c>
      <c r="L96">
        <v>269</v>
      </c>
      <c r="M96">
        <v>201</v>
      </c>
      <c r="N96" s="1">
        <f t="shared" si="2"/>
        <v>0.25278810408921937</v>
      </c>
      <c r="O96" s="1">
        <f t="shared" si="3"/>
        <v>0.74721189591078063</v>
      </c>
    </row>
    <row r="97" spans="1:15" x14ac:dyDescent="0.25">
      <c r="A97" t="s">
        <v>268</v>
      </c>
      <c r="B97" t="s">
        <v>269</v>
      </c>
      <c r="C97" t="s">
        <v>270</v>
      </c>
      <c r="D97">
        <v>4.18</v>
      </c>
      <c r="E97">
        <v>3.63</v>
      </c>
      <c r="F97">
        <v>8.61</v>
      </c>
      <c r="G97">
        <v>21.49</v>
      </c>
      <c r="H97">
        <v>66.099999999999994</v>
      </c>
      <c r="I97">
        <v>1.81</v>
      </c>
      <c r="J97">
        <v>0</v>
      </c>
      <c r="K97" t="s">
        <v>18</v>
      </c>
      <c r="L97">
        <v>269</v>
      </c>
      <c r="M97">
        <v>202</v>
      </c>
      <c r="N97" s="1">
        <f t="shared" si="2"/>
        <v>0.24907063197026025</v>
      </c>
      <c r="O97" s="1">
        <f t="shared" si="3"/>
        <v>0.75092936802973975</v>
      </c>
    </row>
    <row r="98" spans="1:15" x14ac:dyDescent="0.25">
      <c r="A98" t="s">
        <v>271</v>
      </c>
      <c r="B98" t="s">
        <v>272</v>
      </c>
      <c r="C98" t="s">
        <v>234</v>
      </c>
      <c r="D98">
        <v>4.08</v>
      </c>
      <c r="F98">
        <v>8.41</v>
      </c>
      <c r="G98">
        <v>25.19</v>
      </c>
      <c r="H98">
        <v>72.900000000000006</v>
      </c>
      <c r="I98">
        <v>1.91</v>
      </c>
      <c r="J98">
        <v>0</v>
      </c>
      <c r="K98" t="s">
        <v>18</v>
      </c>
      <c r="L98">
        <v>269</v>
      </c>
      <c r="M98">
        <v>203</v>
      </c>
      <c r="N98" s="1">
        <f t="shared" si="2"/>
        <v>0.24535315985130113</v>
      </c>
      <c r="O98" s="1">
        <f t="shared" si="3"/>
        <v>0.75464684014869887</v>
      </c>
    </row>
    <row r="99" spans="1:15" x14ac:dyDescent="0.25">
      <c r="A99" t="s">
        <v>273</v>
      </c>
      <c r="B99" t="s">
        <v>274</v>
      </c>
      <c r="C99" t="s">
        <v>275</v>
      </c>
      <c r="D99">
        <v>3.62</v>
      </c>
      <c r="E99">
        <v>4.8499999999999996</v>
      </c>
      <c r="F99">
        <v>7.44</v>
      </c>
      <c r="G99">
        <v>28.37</v>
      </c>
      <c r="H99">
        <v>57.8</v>
      </c>
      <c r="I99">
        <v>0.97</v>
      </c>
      <c r="J99">
        <v>0</v>
      </c>
      <c r="K99" t="s">
        <v>18</v>
      </c>
      <c r="L99">
        <v>269</v>
      </c>
      <c r="M99">
        <v>208</v>
      </c>
      <c r="N99" s="1">
        <f t="shared" si="2"/>
        <v>0.22676579925650553</v>
      </c>
      <c r="O99" s="1">
        <f t="shared" si="3"/>
        <v>0.77323420074349447</v>
      </c>
    </row>
    <row r="100" spans="1:15" x14ac:dyDescent="0.25">
      <c r="A100" t="s">
        <v>276</v>
      </c>
      <c r="B100" t="s">
        <v>277</v>
      </c>
      <c r="C100" t="s">
        <v>278</v>
      </c>
      <c r="D100">
        <v>3.61</v>
      </c>
      <c r="E100">
        <v>4.67</v>
      </c>
      <c r="F100">
        <v>7.41</v>
      </c>
      <c r="G100">
        <v>21</v>
      </c>
      <c r="H100">
        <v>73.13</v>
      </c>
      <c r="I100">
        <v>1.87</v>
      </c>
      <c r="J100">
        <v>4</v>
      </c>
      <c r="K100" t="s">
        <v>18</v>
      </c>
      <c r="L100">
        <v>269</v>
      </c>
      <c r="M100">
        <v>208</v>
      </c>
      <c r="N100" s="1">
        <f t="shared" si="2"/>
        <v>0.22676579925650553</v>
      </c>
      <c r="O100" s="1">
        <f t="shared" si="3"/>
        <v>0.77323420074349447</v>
      </c>
    </row>
    <row r="101" spans="1:15" x14ac:dyDescent="0.25">
      <c r="A101" t="s">
        <v>279</v>
      </c>
      <c r="B101" t="s">
        <v>280</v>
      </c>
      <c r="C101" t="s">
        <v>281</v>
      </c>
      <c r="D101">
        <v>3.45</v>
      </c>
      <c r="E101">
        <v>1.74</v>
      </c>
      <c r="F101">
        <v>7.07</v>
      </c>
      <c r="G101">
        <v>25.95</v>
      </c>
      <c r="H101">
        <v>70.37</v>
      </c>
      <c r="I101">
        <v>3.68</v>
      </c>
      <c r="J101">
        <v>0</v>
      </c>
      <c r="K101" t="s">
        <v>18</v>
      </c>
      <c r="L101">
        <v>269</v>
      </c>
      <c r="M101">
        <v>211</v>
      </c>
      <c r="N101" s="1">
        <f t="shared" si="2"/>
        <v>0.21561338289962828</v>
      </c>
      <c r="O101" s="1">
        <f t="shared" si="3"/>
        <v>0.78438661710037172</v>
      </c>
    </row>
    <row r="102" spans="1:15" x14ac:dyDescent="0.25">
      <c r="A102" t="s">
        <v>282</v>
      </c>
      <c r="B102" t="s">
        <v>283</v>
      </c>
      <c r="C102" t="s">
        <v>284</v>
      </c>
      <c r="D102">
        <v>3.39</v>
      </c>
      <c r="E102">
        <v>3.63</v>
      </c>
      <c r="F102">
        <v>6.95</v>
      </c>
      <c r="G102">
        <v>22.76</v>
      </c>
      <c r="H102">
        <v>72.239999999999995</v>
      </c>
      <c r="I102">
        <v>2</v>
      </c>
      <c r="J102">
        <v>6.32</v>
      </c>
      <c r="K102" t="s">
        <v>18</v>
      </c>
      <c r="L102">
        <v>269</v>
      </c>
      <c r="M102">
        <v>212</v>
      </c>
      <c r="N102" s="1">
        <f t="shared" si="2"/>
        <v>0.21189591078066916</v>
      </c>
      <c r="O102" s="1">
        <f t="shared" si="3"/>
        <v>0.78810408921933084</v>
      </c>
    </row>
    <row r="103" spans="1:15" x14ac:dyDescent="0.25">
      <c r="A103" t="s">
        <v>285</v>
      </c>
      <c r="B103" t="s">
        <v>286</v>
      </c>
      <c r="C103" t="s">
        <v>287</v>
      </c>
      <c r="D103">
        <v>3.05</v>
      </c>
      <c r="E103">
        <v>2.67</v>
      </c>
      <c r="F103">
        <v>6.25</v>
      </c>
      <c r="G103">
        <v>23.72</v>
      </c>
      <c r="H103">
        <v>62.83</v>
      </c>
      <c r="I103">
        <v>0.99</v>
      </c>
      <c r="J103">
        <v>0</v>
      </c>
      <c r="K103" t="s">
        <v>18</v>
      </c>
      <c r="L103">
        <v>269</v>
      </c>
      <c r="M103">
        <v>216</v>
      </c>
      <c r="N103" s="1">
        <f t="shared" si="2"/>
        <v>0.19702602230483268</v>
      </c>
      <c r="O103" s="1">
        <f t="shared" si="3"/>
        <v>0.80297397769516732</v>
      </c>
    </row>
    <row r="104" spans="1:15" x14ac:dyDescent="0.25">
      <c r="A104" t="s">
        <v>288</v>
      </c>
      <c r="B104" t="s">
        <v>289</v>
      </c>
      <c r="C104" t="s">
        <v>290</v>
      </c>
      <c r="D104">
        <v>2.95</v>
      </c>
      <c r="E104">
        <v>7.9</v>
      </c>
      <c r="F104">
        <v>6.05</v>
      </c>
      <c r="G104">
        <v>43.66</v>
      </c>
      <c r="H104">
        <v>46.08</v>
      </c>
      <c r="I104">
        <v>0.78</v>
      </c>
      <c r="J104">
        <v>0</v>
      </c>
      <c r="K104" t="s">
        <v>18</v>
      </c>
      <c r="L104">
        <v>269</v>
      </c>
      <c r="M104">
        <v>217</v>
      </c>
      <c r="N104" s="1">
        <f t="shared" si="2"/>
        <v>0.19330855018587356</v>
      </c>
      <c r="O104" s="1">
        <f t="shared" si="3"/>
        <v>0.80669144981412644</v>
      </c>
    </row>
    <row r="105" spans="1:15" x14ac:dyDescent="0.25">
      <c r="A105" t="s">
        <v>291</v>
      </c>
      <c r="B105" t="s">
        <v>292</v>
      </c>
      <c r="C105" t="s">
        <v>293</v>
      </c>
      <c r="D105">
        <v>2.7</v>
      </c>
      <c r="E105">
        <v>-7.37</v>
      </c>
      <c r="F105">
        <v>5.52</v>
      </c>
      <c r="G105">
        <v>48.73</v>
      </c>
      <c r="H105">
        <v>0</v>
      </c>
      <c r="I105">
        <v>3.3</v>
      </c>
      <c r="J105">
        <v>0</v>
      </c>
      <c r="K105" t="s">
        <v>18</v>
      </c>
      <c r="L105">
        <v>269</v>
      </c>
      <c r="M105">
        <v>220</v>
      </c>
      <c r="N105" s="1">
        <f t="shared" si="2"/>
        <v>0.18215613382899631</v>
      </c>
      <c r="O105" s="1">
        <f t="shared" si="3"/>
        <v>0.81784386617100369</v>
      </c>
    </row>
    <row r="106" spans="1:15" x14ac:dyDescent="0.25">
      <c r="A106" t="s">
        <v>294</v>
      </c>
      <c r="B106" t="s">
        <v>295</v>
      </c>
      <c r="C106" t="s">
        <v>296</v>
      </c>
      <c r="D106">
        <v>1.77</v>
      </c>
      <c r="E106">
        <v>6.95</v>
      </c>
      <c r="F106">
        <v>3.6</v>
      </c>
      <c r="G106">
        <v>48</v>
      </c>
      <c r="H106">
        <v>27</v>
      </c>
      <c r="I106">
        <v>2</v>
      </c>
      <c r="J106">
        <v>4</v>
      </c>
      <c r="K106" t="s">
        <v>18</v>
      </c>
      <c r="L106">
        <v>269</v>
      </c>
      <c r="M106">
        <v>230</v>
      </c>
      <c r="N106" s="1">
        <f t="shared" si="2"/>
        <v>0.14498141263940523</v>
      </c>
      <c r="O106" s="1">
        <f t="shared" si="3"/>
        <v>0.85501858736059477</v>
      </c>
    </row>
    <row r="107" spans="1:15" x14ac:dyDescent="0.25">
      <c r="A107" t="s">
        <v>297</v>
      </c>
      <c r="B107" t="s">
        <v>298</v>
      </c>
      <c r="C107" t="s">
        <v>65</v>
      </c>
      <c r="D107">
        <v>1.77</v>
      </c>
      <c r="E107">
        <v>8.27</v>
      </c>
      <c r="F107">
        <v>3.6</v>
      </c>
      <c r="G107">
        <v>54</v>
      </c>
      <c r="H107">
        <v>0</v>
      </c>
      <c r="I107">
        <v>10</v>
      </c>
      <c r="J107">
        <v>0</v>
      </c>
      <c r="K107" t="s">
        <v>18</v>
      </c>
      <c r="L107">
        <v>269</v>
      </c>
      <c r="M107">
        <v>230</v>
      </c>
      <c r="N107" s="1">
        <f t="shared" si="2"/>
        <v>0.14498141263940523</v>
      </c>
      <c r="O107" s="1">
        <f t="shared" si="3"/>
        <v>0.85501858736059477</v>
      </c>
    </row>
    <row r="108" spans="1:15" x14ac:dyDescent="0.25">
      <c r="A108" t="s">
        <v>299</v>
      </c>
      <c r="B108" t="s">
        <v>300</v>
      </c>
      <c r="C108" t="s">
        <v>301</v>
      </c>
      <c r="D108">
        <v>1.64</v>
      </c>
      <c r="E108">
        <v>2.14</v>
      </c>
      <c r="F108">
        <v>3.33</v>
      </c>
      <c r="G108">
        <v>20.54</v>
      </c>
      <c r="H108">
        <v>69.17</v>
      </c>
      <c r="I108">
        <v>1.82</v>
      </c>
      <c r="J108">
        <v>0</v>
      </c>
      <c r="K108" t="s">
        <v>18</v>
      </c>
      <c r="L108">
        <v>269</v>
      </c>
      <c r="M108">
        <v>232</v>
      </c>
      <c r="N108" s="1">
        <f t="shared" si="2"/>
        <v>0.13754646840148699</v>
      </c>
      <c r="O108" s="1">
        <f t="shared" si="3"/>
        <v>0.86245353159851301</v>
      </c>
    </row>
    <row r="109" spans="1:15" x14ac:dyDescent="0.25">
      <c r="A109" t="s">
        <v>302</v>
      </c>
      <c r="B109" t="s">
        <v>303</v>
      </c>
      <c r="C109" t="s">
        <v>301</v>
      </c>
      <c r="D109">
        <v>1.64</v>
      </c>
      <c r="E109">
        <v>2.14</v>
      </c>
      <c r="F109">
        <v>3.33</v>
      </c>
      <c r="G109">
        <v>20.54</v>
      </c>
      <c r="H109">
        <v>69.17</v>
      </c>
      <c r="I109">
        <v>1.82</v>
      </c>
      <c r="J109">
        <v>0</v>
      </c>
      <c r="K109" t="s">
        <v>18</v>
      </c>
      <c r="L109">
        <v>269</v>
      </c>
      <c r="M109">
        <v>232</v>
      </c>
      <c r="N109" s="1">
        <f t="shared" si="2"/>
        <v>0.13754646840148699</v>
      </c>
      <c r="O109" s="1">
        <f t="shared" si="3"/>
        <v>0.86245353159851301</v>
      </c>
    </row>
    <row r="110" spans="1:15" x14ac:dyDescent="0.25">
      <c r="A110" t="s">
        <v>304</v>
      </c>
      <c r="B110" t="s">
        <v>305</v>
      </c>
      <c r="D110">
        <v>1.61</v>
      </c>
      <c r="E110">
        <v>0</v>
      </c>
      <c r="F110">
        <v>3.27</v>
      </c>
      <c r="G110">
        <v>47.56</v>
      </c>
      <c r="H110">
        <v>46.5</v>
      </c>
      <c r="I110">
        <v>0.98</v>
      </c>
      <c r="J110">
        <v>0</v>
      </c>
      <c r="K110" t="s">
        <v>18</v>
      </c>
      <c r="L110">
        <v>269</v>
      </c>
      <c r="M110">
        <v>232</v>
      </c>
      <c r="N110" s="1">
        <f t="shared" si="2"/>
        <v>0.13754646840148699</v>
      </c>
      <c r="O110" s="1">
        <f t="shared" si="3"/>
        <v>0.86245353159851301</v>
      </c>
    </row>
    <row r="111" spans="1:15" x14ac:dyDescent="0.25">
      <c r="A111" t="s">
        <v>306</v>
      </c>
      <c r="B111" t="s">
        <v>307</v>
      </c>
      <c r="C111" t="s">
        <v>267</v>
      </c>
      <c r="D111">
        <v>1.28</v>
      </c>
      <c r="E111">
        <v>4.55</v>
      </c>
      <c r="F111">
        <v>2.59</v>
      </c>
      <c r="G111">
        <v>39.6</v>
      </c>
      <c r="H111">
        <v>43</v>
      </c>
      <c r="I111">
        <v>2</v>
      </c>
      <c r="J111">
        <v>0</v>
      </c>
      <c r="K111" t="s">
        <v>18</v>
      </c>
      <c r="L111">
        <v>269</v>
      </c>
      <c r="M111">
        <v>239</v>
      </c>
      <c r="N111" s="1">
        <f t="shared" si="2"/>
        <v>0.11152416356877326</v>
      </c>
      <c r="O111" s="1">
        <f t="shared" si="3"/>
        <v>0.88847583643122674</v>
      </c>
    </row>
    <row r="112" spans="1:15" x14ac:dyDescent="0.25">
      <c r="A112" t="s">
        <v>308</v>
      </c>
      <c r="B112" t="s">
        <v>309</v>
      </c>
      <c r="C112" t="s">
        <v>310</v>
      </c>
      <c r="D112">
        <v>1.2</v>
      </c>
      <c r="E112">
        <v>2.68</v>
      </c>
      <c r="F112">
        <v>2.44</v>
      </c>
      <c r="G112">
        <v>32.71</v>
      </c>
      <c r="H112">
        <v>66.25</v>
      </c>
      <c r="I112">
        <v>1.04</v>
      </c>
      <c r="J112">
        <v>0</v>
      </c>
      <c r="K112" t="s">
        <v>18</v>
      </c>
      <c r="L112">
        <v>269</v>
      </c>
      <c r="M112">
        <v>239</v>
      </c>
      <c r="N112" s="1">
        <f t="shared" si="2"/>
        <v>0.11152416356877326</v>
      </c>
      <c r="O112" s="1">
        <f t="shared" si="3"/>
        <v>0.88847583643122674</v>
      </c>
    </row>
    <row r="113" spans="1:15" x14ac:dyDescent="0.25">
      <c r="A113" t="s">
        <v>311</v>
      </c>
      <c r="B113" t="s">
        <v>312</v>
      </c>
      <c r="C113" t="s">
        <v>281</v>
      </c>
      <c r="D113">
        <v>0.47</v>
      </c>
      <c r="E113">
        <v>1.75</v>
      </c>
      <c r="F113">
        <v>0.94</v>
      </c>
      <c r="G113">
        <v>20.45</v>
      </c>
      <c r="H113">
        <v>74.06</v>
      </c>
      <c r="I113">
        <v>1.91</v>
      </c>
      <c r="J113">
        <v>0</v>
      </c>
      <c r="K113" t="s">
        <v>18</v>
      </c>
      <c r="L113">
        <v>269</v>
      </c>
      <c r="M113">
        <v>244</v>
      </c>
      <c r="N113" s="1">
        <f t="shared" si="2"/>
        <v>9.2936802973977661E-2</v>
      </c>
      <c r="O113" s="1">
        <f t="shared" si="3"/>
        <v>0.90706319702602234</v>
      </c>
    </row>
    <row r="114" spans="1:15" x14ac:dyDescent="0.25">
      <c r="A114" t="s">
        <v>313</v>
      </c>
      <c r="B114" t="s">
        <v>314</v>
      </c>
      <c r="C114" t="s">
        <v>315</v>
      </c>
      <c r="D114">
        <v>0.08</v>
      </c>
      <c r="F114">
        <v>4.3499999999999996</v>
      </c>
      <c r="G114">
        <v>32.07</v>
      </c>
      <c r="H114">
        <v>56.92</v>
      </c>
      <c r="I114">
        <v>2</v>
      </c>
      <c r="J114">
        <v>0</v>
      </c>
      <c r="K114" t="s">
        <v>18</v>
      </c>
      <c r="L114">
        <v>269</v>
      </c>
      <c r="M114">
        <v>248</v>
      </c>
      <c r="N114" s="1">
        <f t="shared" si="2"/>
        <v>7.8066914498141293E-2</v>
      </c>
      <c r="O114" s="1">
        <f t="shared" si="3"/>
        <v>0.92193308550185871</v>
      </c>
    </row>
    <row r="115" spans="1:15" x14ac:dyDescent="0.25">
      <c r="A115" t="s">
        <v>316</v>
      </c>
      <c r="B115" t="s">
        <v>317</v>
      </c>
      <c r="C115" t="s">
        <v>318</v>
      </c>
      <c r="D115">
        <v>0</v>
      </c>
      <c r="E115">
        <v>3.86</v>
      </c>
      <c r="F115">
        <v>0</v>
      </c>
      <c r="G115">
        <v>20.399999999999999</v>
      </c>
      <c r="H115">
        <v>42.82</v>
      </c>
      <c r="I115">
        <v>2.0099999999999998</v>
      </c>
      <c r="J115">
        <v>0</v>
      </c>
      <c r="K115" t="s">
        <v>18</v>
      </c>
      <c r="L115">
        <v>269</v>
      </c>
      <c r="M115">
        <v>248</v>
      </c>
      <c r="N115" s="1">
        <f t="shared" si="2"/>
        <v>7.8066914498141293E-2</v>
      </c>
      <c r="O115" s="1">
        <f t="shared" si="3"/>
        <v>0.92193308550185871</v>
      </c>
    </row>
    <row r="116" spans="1:15" x14ac:dyDescent="0.25">
      <c r="A116" t="s">
        <v>319</v>
      </c>
      <c r="B116" t="s">
        <v>320</v>
      </c>
      <c r="C116" t="s">
        <v>321</v>
      </c>
      <c r="D116">
        <v>-0.26</v>
      </c>
      <c r="E116">
        <v>3.18</v>
      </c>
      <c r="F116">
        <v>-0.51</v>
      </c>
      <c r="G116">
        <v>25</v>
      </c>
      <c r="H116">
        <v>67</v>
      </c>
      <c r="I116">
        <v>3</v>
      </c>
      <c r="J116">
        <v>0</v>
      </c>
      <c r="K116" t="s">
        <v>18</v>
      </c>
      <c r="L116">
        <v>269</v>
      </c>
      <c r="M116">
        <v>250</v>
      </c>
      <c r="N116" s="1">
        <f t="shared" si="2"/>
        <v>7.0631970260223054E-2</v>
      </c>
      <c r="O116" s="1">
        <f t="shared" si="3"/>
        <v>0.92936802973977695</v>
      </c>
    </row>
    <row r="117" spans="1:15" x14ac:dyDescent="0.25">
      <c r="A117" t="s">
        <v>322</v>
      </c>
      <c r="B117" t="s">
        <v>323</v>
      </c>
      <c r="C117" t="s">
        <v>324</v>
      </c>
      <c r="D117">
        <v>-0.68</v>
      </c>
      <c r="E117">
        <v>4.45</v>
      </c>
      <c r="F117">
        <v>-1.37</v>
      </c>
      <c r="G117">
        <v>34.799999999999997</v>
      </c>
      <c r="H117">
        <v>50.58</v>
      </c>
      <c r="I117">
        <v>5.01</v>
      </c>
      <c r="J117">
        <v>2.98</v>
      </c>
      <c r="K117" t="s">
        <v>18</v>
      </c>
      <c r="L117">
        <v>269</v>
      </c>
      <c r="M117">
        <v>256</v>
      </c>
      <c r="N117" s="1">
        <f t="shared" si="2"/>
        <v>4.8327137546468446E-2</v>
      </c>
      <c r="O117" s="1">
        <f t="shared" si="3"/>
        <v>0.95167286245353155</v>
      </c>
    </row>
    <row r="118" spans="1:15" x14ac:dyDescent="0.25">
      <c r="A118" t="s">
        <v>325</v>
      </c>
      <c r="B118" t="s">
        <v>326</v>
      </c>
      <c r="C118" t="s">
        <v>327</v>
      </c>
      <c r="D118">
        <v>-0.79</v>
      </c>
      <c r="E118">
        <v>7.17</v>
      </c>
      <c r="F118">
        <v>-1.59</v>
      </c>
      <c r="G118">
        <v>54.29</v>
      </c>
      <c r="H118">
        <v>19.559999999999999</v>
      </c>
      <c r="I118">
        <v>1.6</v>
      </c>
      <c r="J118">
        <v>0</v>
      </c>
      <c r="K118" t="s">
        <v>18</v>
      </c>
      <c r="L118">
        <v>269</v>
      </c>
      <c r="M118">
        <v>257</v>
      </c>
      <c r="N118" s="1">
        <f t="shared" si="2"/>
        <v>4.4609665427509326E-2</v>
      </c>
      <c r="O118" s="1">
        <f t="shared" si="3"/>
        <v>0.95539033457249067</v>
      </c>
    </row>
    <row r="119" spans="1:15" x14ac:dyDescent="0.25">
      <c r="A119" t="s">
        <v>328</v>
      </c>
      <c r="B119" t="s">
        <v>329</v>
      </c>
      <c r="C119" t="s">
        <v>330</v>
      </c>
      <c r="D119">
        <v>-0.85</v>
      </c>
      <c r="E119">
        <v>5.84</v>
      </c>
      <c r="F119">
        <v>-1.7</v>
      </c>
      <c r="G119">
        <v>34.369999999999997</v>
      </c>
      <c r="H119">
        <v>0</v>
      </c>
      <c r="I119">
        <v>65.63</v>
      </c>
      <c r="J119">
        <v>0</v>
      </c>
      <c r="K119" t="s">
        <v>18</v>
      </c>
      <c r="L119">
        <v>269</v>
      </c>
      <c r="M119">
        <v>257</v>
      </c>
      <c r="N119" s="1">
        <f t="shared" si="2"/>
        <v>4.4609665427509326E-2</v>
      </c>
      <c r="O119" s="1">
        <f t="shared" si="3"/>
        <v>0.95539033457249067</v>
      </c>
    </row>
    <row r="120" spans="1:15" x14ac:dyDescent="0.25">
      <c r="A120" t="s">
        <v>331</v>
      </c>
      <c r="B120" t="s">
        <v>332</v>
      </c>
      <c r="C120" t="s">
        <v>284</v>
      </c>
      <c r="D120">
        <v>-2.0699999999999998</v>
      </c>
      <c r="E120">
        <v>3.62</v>
      </c>
      <c r="F120">
        <v>-4.13</v>
      </c>
      <c r="G120">
        <v>20.55</v>
      </c>
      <c r="H120">
        <v>71.64</v>
      </c>
      <c r="I120">
        <v>1.94</v>
      </c>
      <c r="J120">
        <v>0</v>
      </c>
      <c r="K120" t="s">
        <v>18</v>
      </c>
      <c r="L120">
        <v>269</v>
      </c>
      <c r="M120">
        <v>262</v>
      </c>
      <c r="N120" s="1">
        <f t="shared" si="2"/>
        <v>2.6022304832713727E-2</v>
      </c>
      <c r="O120" s="1">
        <f t="shared" si="3"/>
        <v>0.97397769516728627</v>
      </c>
    </row>
    <row r="121" spans="1:15" x14ac:dyDescent="0.25">
      <c r="A121" t="s">
        <v>333</v>
      </c>
      <c r="B121" t="s">
        <v>334</v>
      </c>
      <c r="C121" t="s">
        <v>335</v>
      </c>
      <c r="D121">
        <v>-3.65</v>
      </c>
      <c r="E121">
        <v>5.07</v>
      </c>
      <c r="F121">
        <v>-7.23</v>
      </c>
      <c r="G121">
        <v>51</v>
      </c>
      <c r="H121">
        <v>42</v>
      </c>
      <c r="I121">
        <v>1</v>
      </c>
      <c r="J121">
        <v>0</v>
      </c>
      <c r="K121" t="s">
        <v>18</v>
      </c>
      <c r="L121">
        <v>269</v>
      </c>
      <c r="M121">
        <v>264</v>
      </c>
      <c r="N121" s="1">
        <f t="shared" si="2"/>
        <v>1.8587360594795488E-2</v>
      </c>
      <c r="O121" s="1">
        <f t="shared" si="3"/>
        <v>0.98141263940520451</v>
      </c>
    </row>
    <row r="122" spans="1:15" x14ac:dyDescent="0.25">
      <c r="A122" t="s">
        <v>336</v>
      </c>
      <c r="B122" t="s">
        <v>337</v>
      </c>
      <c r="C122" t="s">
        <v>335</v>
      </c>
      <c r="D122">
        <v>-3.65</v>
      </c>
      <c r="E122">
        <v>5.07</v>
      </c>
      <c r="F122">
        <v>-7.23</v>
      </c>
      <c r="G122">
        <v>51</v>
      </c>
      <c r="H122">
        <v>42</v>
      </c>
      <c r="I122">
        <v>1</v>
      </c>
      <c r="J122">
        <v>0</v>
      </c>
      <c r="K122" t="s">
        <v>18</v>
      </c>
      <c r="L122">
        <v>269</v>
      </c>
      <c r="M122">
        <v>264</v>
      </c>
      <c r="N122" s="1">
        <f t="shared" si="2"/>
        <v>1.8587360594795488E-2</v>
      </c>
      <c r="O122" s="1">
        <f t="shared" si="3"/>
        <v>0.98141263940520451</v>
      </c>
    </row>
    <row r="123" spans="1:15" x14ac:dyDescent="0.25">
      <c r="A123" t="s">
        <v>338</v>
      </c>
      <c r="B123" t="s">
        <v>339</v>
      </c>
      <c r="C123" t="s">
        <v>340</v>
      </c>
      <c r="D123">
        <v>-9.39</v>
      </c>
      <c r="E123">
        <v>13.7</v>
      </c>
      <c r="F123">
        <v>-18.04</v>
      </c>
      <c r="G123">
        <v>39</v>
      </c>
      <c r="H123">
        <v>0</v>
      </c>
      <c r="I123">
        <v>1</v>
      </c>
      <c r="J123">
        <v>0</v>
      </c>
      <c r="K123" t="s">
        <v>18</v>
      </c>
      <c r="L123">
        <v>270</v>
      </c>
      <c r="M123">
        <v>270</v>
      </c>
      <c r="N123" s="1">
        <f t="shared" si="2"/>
        <v>0</v>
      </c>
      <c r="O123" s="1">
        <f t="shared" si="3"/>
        <v>1</v>
      </c>
    </row>
    <row r="124" spans="1:15" x14ac:dyDescent="0.25">
      <c r="A124" t="s">
        <v>341</v>
      </c>
      <c r="B124" t="s">
        <v>342</v>
      </c>
      <c r="C124" t="s">
        <v>343</v>
      </c>
      <c r="D124">
        <v>11.41</v>
      </c>
      <c r="E124">
        <v>0</v>
      </c>
      <c r="F124">
        <v>24.34</v>
      </c>
      <c r="G124">
        <v>10.64</v>
      </c>
      <c r="H124">
        <v>74.400000000000006</v>
      </c>
      <c r="I124">
        <v>1.24</v>
      </c>
      <c r="J124">
        <v>0</v>
      </c>
      <c r="K124" t="s">
        <v>344</v>
      </c>
      <c r="L124">
        <v>503</v>
      </c>
      <c r="M124">
        <v>11</v>
      </c>
      <c r="N124" s="1">
        <f t="shared" si="2"/>
        <v>0.97813121272365811</v>
      </c>
      <c r="O124" s="1">
        <f t="shared" si="3"/>
        <v>2.186878727634195E-2</v>
      </c>
    </row>
    <row r="125" spans="1:15" x14ac:dyDescent="0.25">
      <c r="A125" t="s">
        <v>345</v>
      </c>
      <c r="B125" t="s">
        <v>346</v>
      </c>
      <c r="C125" t="s">
        <v>347</v>
      </c>
      <c r="D125">
        <v>10.23</v>
      </c>
      <c r="E125">
        <v>0.46</v>
      </c>
      <c r="F125">
        <v>21.71</v>
      </c>
      <c r="G125">
        <v>0</v>
      </c>
      <c r="H125">
        <v>0</v>
      </c>
      <c r="I125">
        <v>100</v>
      </c>
      <c r="J125">
        <v>0</v>
      </c>
      <c r="K125" t="s">
        <v>344</v>
      </c>
      <c r="L125">
        <v>503</v>
      </c>
      <c r="M125">
        <v>11</v>
      </c>
      <c r="N125" s="1">
        <f t="shared" si="2"/>
        <v>0.97813121272365811</v>
      </c>
      <c r="O125" s="1">
        <f t="shared" si="3"/>
        <v>2.186878727634195E-2</v>
      </c>
    </row>
    <row r="126" spans="1:15" x14ac:dyDescent="0.25">
      <c r="A126" t="s">
        <v>348</v>
      </c>
      <c r="B126" t="s">
        <v>349</v>
      </c>
      <c r="C126" t="s">
        <v>350</v>
      </c>
      <c r="D126">
        <v>9.09</v>
      </c>
      <c r="E126">
        <v>1.74</v>
      </c>
      <c r="F126">
        <v>19.170000000000002</v>
      </c>
      <c r="G126">
        <v>5</v>
      </c>
      <c r="H126">
        <v>83</v>
      </c>
      <c r="I126">
        <v>2</v>
      </c>
      <c r="J126">
        <v>0</v>
      </c>
      <c r="K126" t="s">
        <v>344</v>
      </c>
      <c r="L126">
        <v>503</v>
      </c>
      <c r="M126">
        <v>15</v>
      </c>
      <c r="N126" s="1">
        <f t="shared" si="2"/>
        <v>0.97017892644135184</v>
      </c>
      <c r="O126" s="1">
        <f t="shared" si="3"/>
        <v>2.982107355864811E-2</v>
      </c>
    </row>
    <row r="127" spans="1:15" x14ac:dyDescent="0.25">
      <c r="A127" t="s">
        <v>351</v>
      </c>
      <c r="B127" t="s">
        <v>352</v>
      </c>
      <c r="D127">
        <v>8.7100000000000009</v>
      </c>
      <c r="E127">
        <v>0</v>
      </c>
      <c r="F127">
        <v>18.34</v>
      </c>
      <c r="G127">
        <v>14</v>
      </c>
      <c r="H127">
        <v>38</v>
      </c>
      <c r="I127">
        <v>2</v>
      </c>
      <c r="J127">
        <v>0</v>
      </c>
      <c r="K127" t="s">
        <v>344</v>
      </c>
      <c r="L127">
        <v>503</v>
      </c>
      <c r="M127">
        <v>19</v>
      </c>
      <c r="N127" s="1">
        <f t="shared" si="2"/>
        <v>0.96222664015904569</v>
      </c>
      <c r="O127" s="1">
        <f t="shared" si="3"/>
        <v>3.7773359840954271E-2</v>
      </c>
    </row>
    <row r="128" spans="1:15" x14ac:dyDescent="0.25">
      <c r="A128" t="s">
        <v>353</v>
      </c>
      <c r="B128" t="s">
        <v>354</v>
      </c>
      <c r="D128">
        <v>8.7100000000000009</v>
      </c>
      <c r="E128">
        <v>0</v>
      </c>
      <c r="F128">
        <v>18.34</v>
      </c>
      <c r="G128">
        <v>14</v>
      </c>
      <c r="H128">
        <v>38</v>
      </c>
      <c r="I128">
        <v>2</v>
      </c>
      <c r="J128">
        <v>0</v>
      </c>
      <c r="K128" t="s">
        <v>344</v>
      </c>
      <c r="L128">
        <v>503</v>
      </c>
      <c r="M128">
        <v>19</v>
      </c>
      <c r="N128" s="1">
        <f t="shared" si="2"/>
        <v>0.96222664015904569</v>
      </c>
      <c r="O128" s="1">
        <f t="shared" si="3"/>
        <v>3.7773359840954271E-2</v>
      </c>
    </row>
    <row r="129" spans="1:15" x14ac:dyDescent="0.25">
      <c r="A129" t="s">
        <v>355</v>
      </c>
      <c r="B129" t="s">
        <v>356</v>
      </c>
      <c r="C129" t="s">
        <v>357</v>
      </c>
      <c r="D129">
        <v>7.27</v>
      </c>
      <c r="E129">
        <v>3.67</v>
      </c>
      <c r="F129">
        <v>15.2</v>
      </c>
      <c r="G129">
        <v>20</v>
      </c>
      <c r="H129">
        <v>50</v>
      </c>
      <c r="I129">
        <v>2</v>
      </c>
      <c r="J129">
        <v>0</v>
      </c>
      <c r="K129" t="s">
        <v>344</v>
      </c>
      <c r="L129">
        <v>503</v>
      </c>
      <c r="M129">
        <v>34</v>
      </c>
      <c r="N129" s="1">
        <f t="shared" si="2"/>
        <v>0.93240556660039764</v>
      </c>
      <c r="O129" s="1">
        <f t="shared" si="3"/>
        <v>6.7594433399602388E-2</v>
      </c>
    </row>
    <row r="130" spans="1:15" x14ac:dyDescent="0.25">
      <c r="A130" t="s">
        <v>358</v>
      </c>
      <c r="B130" t="s">
        <v>359</v>
      </c>
      <c r="C130" t="s">
        <v>360</v>
      </c>
      <c r="D130">
        <v>7.05</v>
      </c>
      <c r="E130">
        <v>3.37</v>
      </c>
      <c r="F130">
        <v>14.72</v>
      </c>
      <c r="G130">
        <v>14.82</v>
      </c>
      <c r="H130">
        <v>48.37</v>
      </c>
      <c r="I130">
        <v>1.5</v>
      </c>
      <c r="J130">
        <v>0</v>
      </c>
      <c r="K130" t="s">
        <v>344</v>
      </c>
      <c r="L130">
        <v>503</v>
      </c>
      <c r="M130">
        <v>37</v>
      </c>
      <c r="N130" s="1">
        <f t="shared" ref="N130:N193" si="4">1-O130</f>
        <v>0.92644135188866805</v>
      </c>
      <c r="O130" s="1">
        <f t="shared" ref="O130:O193" si="5">M130/L130</f>
        <v>7.3558648111332003E-2</v>
      </c>
    </row>
    <row r="131" spans="1:15" x14ac:dyDescent="0.25">
      <c r="A131" t="s">
        <v>361</v>
      </c>
      <c r="B131" t="s">
        <v>362</v>
      </c>
      <c r="D131">
        <v>6.96</v>
      </c>
      <c r="E131">
        <v>0</v>
      </c>
      <c r="F131">
        <v>14.52</v>
      </c>
      <c r="G131">
        <v>0</v>
      </c>
      <c r="H131">
        <v>38.78</v>
      </c>
      <c r="I131">
        <v>0.89</v>
      </c>
      <c r="J131">
        <v>0</v>
      </c>
      <c r="K131" t="s">
        <v>344</v>
      </c>
      <c r="L131">
        <v>503</v>
      </c>
      <c r="M131">
        <v>38</v>
      </c>
      <c r="N131" s="1">
        <f t="shared" si="4"/>
        <v>0.92445328031809149</v>
      </c>
      <c r="O131" s="1">
        <f t="shared" si="5"/>
        <v>7.5546719681908542E-2</v>
      </c>
    </row>
    <row r="132" spans="1:15" x14ac:dyDescent="0.25">
      <c r="A132" t="s">
        <v>363</v>
      </c>
      <c r="B132" t="s">
        <v>364</v>
      </c>
      <c r="C132" t="s">
        <v>365</v>
      </c>
      <c r="D132">
        <v>6.42</v>
      </c>
      <c r="E132">
        <v>2.69</v>
      </c>
      <c r="F132">
        <v>13.37</v>
      </c>
      <c r="G132">
        <v>18.55</v>
      </c>
      <c r="H132">
        <v>52.64</v>
      </c>
      <c r="I132">
        <v>3.95</v>
      </c>
      <c r="J132">
        <v>0</v>
      </c>
      <c r="K132" t="s">
        <v>344</v>
      </c>
      <c r="L132">
        <v>503</v>
      </c>
      <c r="M132">
        <v>42</v>
      </c>
      <c r="N132" s="1">
        <f t="shared" si="4"/>
        <v>0.91650099403578533</v>
      </c>
      <c r="O132" s="1">
        <f t="shared" si="5"/>
        <v>8.3499005964214709E-2</v>
      </c>
    </row>
    <row r="133" spans="1:15" x14ac:dyDescent="0.25">
      <c r="A133" t="s">
        <v>366</v>
      </c>
      <c r="B133" t="s">
        <v>367</v>
      </c>
      <c r="C133" t="s">
        <v>368</v>
      </c>
      <c r="D133">
        <v>6.26</v>
      </c>
      <c r="E133">
        <v>2.71</v>
      </c>
      <c r="F133">
        <v>13.02</v>
      </c>
      <c r="G133">
        <v>17.579999999999998</v>
      </c>
      <c r="H133">
        <v>72.42</v>
      </c>
      <c r="I133">
        <v>0.87</v>
      </c>
      <c r="J133">
        <v>0</v>
      </c>
      <c r="K133" t="s">
        <v>344</v>
      </c>
      <c r="L133">
        <v>503</v>
      </c>
      <c r="M133">
        <v>42</v>
      </c>
      <c r="N133" s="1">
        <f t="shared" si="4"/>
        <v>0.91650099403578533</v>
      </c>
      <c r="O133" s="1">
        <f t="shared" si="5"/>
        <v>8.3499005964214709E-2</v>
      </c>
    </row>
    <row r="134" spans="1:15" x14ac:dyDescent="0.25">
      <c r="A134" t="s">
        <v>369</v>
      </c>
      <c r="B134" t="s">
        <v>370</v>
      </c>
      <c r="C134" t="s">
        <v>371</v>
      </c>
      <c r="D134">
        <v>6.13</v>
      </c>
      <c r="E134">
        <v>2.91</v>
      </c>
      <c r="F134">
        <v>12.76</v>
      </c>
      <c r="G134">
        <v>16</v>
      </c>
      <c r="H134">
        <v>71.5</v>
      </c>
      <c r="I134">
        <v>2</v>
      </c>
      <c r="J134">
        <v>0</v>
      </c>
      <c r="K134" t="s">
        <v>344</v>
      </c>
      <c r="L134">
        <v>503</v>
      </c>
      <c r="M134">
        <v>42</v>
      </c>
      <c r="N134" s="1">
        <f t="shared" si="4"/>
        <v>0.91650099403578533</v>
      </c>
      <c r="O134" s="1">
        <f t="shared" si="5"/>
        <v>8.3499005964214709E-2</v>
      </c>
    </row>
    <row r="135" spans="1:15" x14ac:dyDescent="0.25">
      <c r="A135" t="s">
        <v>372</v>
      </c>
      <c r="B135" t="s">
        <v>373</v>
      </c>
      <c r="C135" t="s">
        <v>371</v>
      </c>
      <c r="D135">
        <v>6.13</v>
      </c>
      <c r="E135">
        <v>2.91</v>
      </c>
      <c r="F135">
        <v>12.76</v>
      </c>
      <c r="G135">
        <v>16</v>
      </c>
      <c r="H135">
        <v>71.5</v>
      </c>
      <c r="I135">
        <v>2</v>
      </c>
      <c r="J135">
        <v>0</v>
      </c>
      <c r="K135" t="s">
        <v>344</v>
      </c>
      <c r="L135">
        <v>503</v>
      </c>
      <c r="M135">
        <v>42</v>
      </c>
      <c r="N135" s="1">
        <f t="shared" si="4"/>
        <v>0.91650099403578533</v>
      </c>
      <c r="O135" s="1">
        <f t="shared" si="5"/>
        <v>8.3499005964214709E-2</v>
      </c>
    </row>
    <row r="136" spans="1:15" x14ac:dyDescent="0.25">
      <c r="A136" t="s">
        <v>374</v>
      </c>
      <c r="B136" t="s">
        <v>375</v>
      </c>
      <c r="C136" t="s">
        <v>371</v>
      </c>
      <c r="D136">
        <v>6.13</v>
      </c>
      <c r="E136">
        <v>2.92</v>
      </c>
      <c r="F136">
        <v>12.76</v>
      </c>
      <c r="G136">
        <v>16</v>
      </c>
      <c r="H136">
        <v>71.5</v>
      </c>
      <c r="I136">
        <v>2</v>
      </c>
      <c r="J136">
        <v>0</v>
      </c>
      <c r="K136" t="s">
        <v>344</v>
      </c>
      <c r="L136">
        <v>503</v>
      </c>
      <c r="M136">
        <v>42</v>
      </c>
      <c r="N136" s="1">
        <f t="shared" si="4"/>
        <v>0.91650099403578533</v>
      </c>
      <c r="O136" s="1">
        <f t="shared" si="5"/>
        <v>8.3499005964214709E-2</v>
      </c>
    </row>
    <row r="137" spans="1:15" x14ac:dyDescent="0.25">
      <c r="A137" t="s">
        <v>376</v>
      </c>
      <c r="B137" t="s">
        <v>377</v>
      </c>
      <c r="C137" t="s">
        <v>371</v>
      </c>
      <c r="D137">
        <v>6.13</v>
      </c>
      <c r="E137">
        <v>2.92</v>
      </c>
      <c r="F137">
        <v>12.76</v>
      </c>
      <c r="G137">
        <v>16</v>
      </c>
      <c r="H137">
        <v>71.5</v>
      </c>
      <c r="I137">
        <v>2</v>
      </c>
      <c r="J137">
        <v>0</v>
      </c>
      <c r="K137" t="s">
        <v>344</v>
      </c>
      <c r="L137">
        <v>503</v>
      </c>
      <c r="M137">
        <v>42</v>
      </c>
      <c r="N137" s="1">
        <f t="shared" si="4"/>
        <v>0.91650099403578533</v>
      </c>
      <c r="O137" s="1">
        <f t="shared" si="5"/>
        <v>8.3499005964214709E-2</v>
      </c>
    </row>
    <row r="138" spans="1:15" x14ac:dyDescent="0.25">
      <c r="A138" t="s">
        <v>378</v>
      </c>
      <c r="B138" t="s">
        <v>379</v>
      </c>
      <c r="C138" t="s">
        <v>371</v>
      </c>
      <c r="D138">
        <v>6.13</v>
      </c>
      <c r="E138">
        <v>2.91</v>
      </c>
      <c r="F138">
        <v>12.76</v>
      </c>
      <c r="G138">
        <v>16</v>
      </c>
      <c r="H138">
        <v>71.5</v>
      </c>
      <c r="I138">
        <v>2</v>
      </c>
      <c r="J138">
        <v>0</v>
      </c>
      <c r="K138" t="s">
        <v>344</v>
      </c>
      <c r="L138">
        <v>503</v>
      </c>
      <c r="M138">
        <v>42</v>
      </c>
      <c r="N138" s="1">
        <f t="shared" si="4"/>
        <v>0.91650099403578533</v>
      </c>
      <c r="O138" s="1">
        <f t="shared" si="5"/>
        <v>8.3499005964214709E-2</v>
      </c>
    </row>
    <row r="139" spans="1:15" x14ac:dyDescent="0.25">
      <c r="A139" t="s">
        <v>380</v>
      </c>
      <c r="B139" t="s">
        <v>381</v>
      </c>
      <c r="C139" t="s">
        <v>371</v>
      </c>
      <c r="D139">
        <v>6.13</v>
      </c>
      <c r="E139">
        <v>2.91</v>
      </c>
      <c r="F139">
        <v>12.76</v>
      </c>
      <c r="G139">
        <v>15.22</v>
      </c>
      <c r="H139">
        <v>69.73</v>
      </c>
      <c r="I139">
        <v>1.94</v>
      </c>
      <c r="J139">
        <v>0</v>
      </c>
      <c r="K139" t="s">
        <v>344</v>
      </c>
      <c r="L139">
        <v>503</v>
      </c>
      <c r="M139">
        <v>42</v>
      </c>
      <c r="N139" s="1">
        <f t="shared" si="4"/>
        <v>0.91650099403578533</v>
      </c>
      <c r="O139" s="1">
        <f t="shared" si="5"/>
        <v>8.3499005964214709E-2</v>
      </c>
    </row>
    <row r="140" spans="1:15" x14ac:dyDescent="0.25">
      <c r="A140" t="s">
        <v>382</v>
      </c>
      <c r="B140" t="s">
        <v>383</v>
      </c>
      <c r="C140" t="s">
        <v>371</v>
      </c>
      <c r="D140">
        <v>6.13</v>
      </c>
      <c r="E140">
        <v>2.92</v>
      </c>
      <c r="F140">
        <v>12.76</v>
      </c>
      <c r="G140">
        <v>16</v>
      </c>
      <c r="H140">
        <v>71.5</v>
      </c>
      <c r="I140">
        <v>2</v>
      </c>
      <c r="J140">
        <v>0</v>
      </c>
      <c r="K140" t="s">
        <v>344</v>
      </c>
      <c r="L140">
        <v>503</v>
      </c>
      <c r="M140">
        <v>42</v>
      </c>
      <c r="N140" s="1">
        <f t="shared" si="4"/>
        <v>0.91650099403578533</v>
      </c>
      <c r="O140" s="1">
        <f t="shared" si="5"/>
        <v>8.3499005964214709E-2</v>
      </c>
    </row>
    <row r="141" spans="1:15" x14ac:dyDescent="0.25">
      <c r="A141" t="s">
        <v>384</v>
      </c>
      <c r="B141" t="s">
        <v>385</v>
      </c>
      <c r="C141" t="s">
        <v>371</v>
      </c>
      <c r="D141">
        <v>6.13</v>
      </c>
      <c r="E141">
        <v>2.91</v>
      </c>
      <c r="F141">
        <v>12.76</v>
      </c>
      <c r="G141">
        <v>16</v>
      </c>
      <c r="H141">
        <v>71.5</v>
      </c>
      <c r="I141">
        <v>2</v>
      </c>
      <c r="J141">
        <v>0</v>
      </c>
      <c r="K141" t="s">
        <v>344</v>
      </c>
      <c r="L141">
        <v>503</v>
      </c>
      <c r="M141">
        <v>42</v>
      </c>
      <c r="N141" s="1">
        <f t="shared" si="4"/>
        <v>0.91650099403578533</v>
      </c>
      <c r="O141" s="1">
        <f t="shared" si="5"/>
        <v>8.3499005964214709E-2</v>
      </c>
    </row>
    <row r="142" spans="1:15" x14ac:dyDescent="0.25">
      <c r="A142" t="s">
        <v>386</v>
      </c>
      <c r="B142" t="s">
        <v>387</v>
      </c>
      <c r="C142" t="s">
        <v>371</v>
      </c>
      <c r="D142">
        <v>6.13</v>
      </c>
      <c r="E142">
        <v>2.91</v>
      </c>
      <c r="F142">
        <v>12.76</v>
      </c>
      <c r="G142">
        <v>15.22</v>
      </c>
      <c r="H142">
        <v>69.73</v>
      </c>
      <c r="I142">
        <v>1.94</v>
      </c>
      <c r="J142">
        <v>0</v>
      </c>
      <c r="K142" t="s">
        <v>344</v>
      </c>
      <c r="L142">
        <v>503</v>
      </c>
      <c r="M142">
        <v>42</v>
      </c>
      <c r="N142" s="1">
        <f t="shared" si="4"/>
        <v>0.91650099403578533</v>
      </c>
      <c r="O142" s="1">
        <f t="shared" si="5"/>
        <v>8.3499005964214709E-2</v>
      </c>
    </row>
    <row r="143" spans="1:15" x14ac:dyDescent="0.25">
      <c r="A143" t="s">
        <v>388</v>
      </c>
      <c r="B143" t="s">
        <v>389</v>
      </c>
      <c r="C143" t="s">
        <v>371</v>
      </c>
      <c r="D143">
        <v>6.13</v>
      </c>
      <c r="E143">
        <v>2.91</v>
      </c>
      <c r="F143">
        <v>12.76</v>
      </c>
      <c r="G143">
        <v>16</v>
      </c>
      <c r="H143">
        <v>71.5</v>
      </c>
      <c r="I143">
        <v>2</v>
      </c>
      <c r="J143">
        <v>0</v>
      </c>
      <c r="K143" t="s">
        <v>344</v>
      </c>
      <c r="L143">
        <v>503</v>
      </c>
      <c r="M143">
        <v>42</v>
      </c>
      <c r="N143" s="1">
        <f t="shared" si="4"/>
        <v>0.91650099403578533</v>
      </c>
      <c r="O143" s="1">
        <f t="shared" si="5"/>
        <v>8.3499005964214709E-2</v>
      </c>
    </row>
    <row r="144" spans="1:15" x14ac:dyDescent="0.25">
      <c r="A144" t="s">
        <v>390</v>
      </c>
      <c r="B144" t="s">
        <v>391</v>
      </c>
      <c r="C144" t="s">
        <v>371</v>
      </c>
      <c r="D144">
        <v>6.13</v>
      </c>
      <c r="E144">
        <v>2.91</v>
      </c>
      <c r="F144">
        <v>12.76</v>
      </c>
      <c r="G144">
        <v>16</v>
      </c>
      <c r="H144">
        <v>71.5</v>
      </c>
      <c r="I144">
        <v>2</v>
      </c>
      <c r="J144">
        <v>0</v>
      </c>
      <c r="K144" t="s">
        <v>344</v>
      </c>
      <c r="L144">
        <v>503</v>
      </c>
      <c r="M144">
        <v>42</v>
      </c>
      <c r="N144" s="1">
        <f t="shared" si="4"/>
        <v>0.91650099403578533</v>
      </c>
      <c r="O144" s="1">
        <f t="shared" si="5"/>
        <v>8.3499005964214709E-2</v>
      </c>
    </row>
    <row r="145" spans="1:15" x14ac:dyDescent="0.25">
      <c r="A145" t="s">
        <v>392</v>
      </c>
      <c r="B145" t="s">
        <v>393</v>
      </c>
      <c r="C145" t="s">
        <v>394</v>
      </c>
      <c r="D145">
        <v>5.53</v>
      </c>
      <c r="E145">
        <v>3.52</v>
      </c>
      <c r="F145">
        <v>11.47</v>
      </c>
      <c r="G145">
        <v>18</v>
      </c>
      <c r="H145">
        <v>69</v>
      </c>
      <c r="I145">
        <v>1</v>
      </c>
      <c r="J145">
        <v>0</v>
      </c>
      <c r="K145" t="s">
        <v>344</v>
      </c>
      <c r="L145">
        <v>503</v>
      </c>
      <c r="M145">
        <v>56</v>
      </c>
      <c r="N145" s="1">
        <f t="shared" si="4"/>
        <v>0.88866799204771374</v>
      </c>
      <c r="O145" s="1">
        <f t="shared" si="5"/>
        <v>0.11133200795228629</v>
      </c>
    </row>
    <row r="146" spans="1:15" x14ac:dyDescent="0.25">
      <c r="A146" t="s">
        <v>395</v>
      </c>
      <c r="B146" t="s">
        <v>396</v>
      </c>
      <c r="C146" t="s">
        <v>397</v>
      </c>
      <c r="D146">
        <v>5.26</v>
      </c>
      <c r="E146">
        <v>2.04</v>
      </c>
      <c r="F146">
        <v>10.89</v>
      </c>
      <c r="G146">
        <v>10.37</v>
      </c>
      <c r="H146">
        <v>68.27</v>
      </c>
      <c r="I146">
        <v>1.78</v>
      </c>
      <c r="J146">
        <v>0</v>
      </c>
      <c r="K146" t="s">
        <v>344</v>
      </c>
      <c r="L146">
        <v>503</v>
      </c>
      <c r="M146">
        <v>65</v>
      </c>
      <c r="N146" s="1">
        <f t="shared" si="4"/>
        <v>0.87077534791252487</v>
      </c>
      <c r="O146" s="1">
        <f t="shared" si="5"/>
        <v>0.12922465208747516</v>
      </c>
    </row>
    <row r="147" spans="1:15" x14ac:dyDescent="0.25">
      <c r="A147" t="s">
        <v>398</v>
      </c>
      <c r="B147" t="s">
        <v>399</v>
      </c>
      <c r="C147" t="s">
        <v>400</v>
      </c>
      <c r="D147">
        <v>5.22</v>
      </c>
      <c r="E147">
        <v>2.04</v>
      </c>
      <c r="F147">
        <v>10.81</v>
      </c>
      <c r="G147">
        <v>10.28</v>
      </c>
      <c r="H147">
        <v>68.5</v>
      </c>
      <c r="I147">
        <v>1.79</v>
      </c>
      <c r="J147">
        <v>0</v>
      </c>
      <c r="K147" t="s">
        <v>344</v>
      </c>
      <c r="L147">
        <v>503</v>
      </c>
      <c r="M147">
        <v>66</v>
      </c>
      <c r="N147" s="1">
        <f t="shared" si="4"/>
        <v>0.8687872763419483</v>
      </c>
      <c r="O147" s="1">
        <f t="shared" si="5"/>
        <v>0.1312127236580517</v>
      </c>
    </row>
    <row r="148" spans="1:15" x14ac:dyDescent="0.25">
      <c r="A148" t="s">
        <v>401</v>
      </c>
      <c r="B148" t="s">
        <v>402</v>
      </c>
      <c r="C148" t="s">
        <v>400</v>
      </c>
      <c r="D148">
        <v>5.22</v>
      </c>
      <c r="E148">
        <v>2.04</v>
      </c>
      <c r="F148">
        <v>10.81</v>
      </c>
      <c r="G148">
        <v>10.42</v>
      </c>
      <c r="H148">
        <v>68.62</v>
      </c>
      <c r="I148">
        <v>1.79</v>
      </c>
      <c r="J148">
        <v>0</v>
      </c>
      <c r="K148" t="s">
        <v>344</v>
      </c>
      <c r="L148">
        <v>503</v>
      </c>
      <c r="M148">
        <v>66</v>
      </c>
      <c r="N148" s="1">
        <f t="shared" si="4"/>
        <v>0.8687872763419483</v>
      </c>
      <c r="O148" s="1">
        <f t="shared" si="5"/>
        <v>0.1312127236580517</v>
      </c>
    </row>
    <row r="149" spans="1:15" x14ac:dyDescent="0.25">
      <c r="A149" t="s">
        <v>403</v>
      </c>
      <c r="B149" t="s">
        <v>404</v>
      </c>
      <c r="C149" t="s">
        <v>400</v>
      </c>
      <c r="D149">
        <v>5.22</v>
      </c>
      <c r="E149">
        <v>2.04</v>
      </c>
      <c r="F149">
        <v>10.81</v>
      </c>
      <c r="G149">
        <v>10.25</v>
      </c>
      <c r="H149">
        <v>68.47</v>
      </c>
      <c r="I149">
        <v>1.79</v>
      </c>
      <c r="J149">
        <v>0</v>
      </c>
      <c r="K149" t="s">
        <v>344</v>
      </c>
      <c r="L149">
        <v>503</v>
      </c>
      <c r="M149">
        <v>66</v>
      </c>
      <c r="N149" s="1">
        <f t="shared" si="4"/>
        <v>0.8687872763419483</v>
      </c>
      <c r="O149" s="1">
        <f t="shared" si="5"/>
        <v>0.1312127236580517</v>
      </c>
    </row>
    <row r="150" spans="1:15" x14ac:dyDescent="0.25">
      <c r="A150" t="s">
        <v>405</v>
      </c>
      <c r="B150" t="s">
        <v>406</v>
      </c>
      <c r="C150" t="s">
        <v>397</v>
      </c>
      <c r="D150">
        <v>5.22</v>
      </c>
      <c r="E150">
        <v>2.04</v>
      </c>
      <c r="F150">
        <v>10.81</v>
      </c>
      <c r="G150">
        <v>10.33</v>
      </c>
      <c r="H150">
        <v>68.33</v>
      </c>
      <c r="I150">
        <v>1.79</v>
      </c>
      <c r="J150">
        <v>0</v>
      </c>
      <c r="K150" t="s">
        <v>344</v>
      </c>
      <c r="L150">
        <v>503</v>
      </c>
      <c r="M150">
        <v>66</v>
      </c>
      <c r="N150" s="1">
        <f t="shared" si="4"/>
        <v>0.8687872763419483</v>
      </c>
      <c r="O150" s="1">
        <f t="shared" si="5"/>
        <v>0.1312127236580517</v>
      </c>
    </row>
    <row r="151" spans="1:15" x14ac:dyDescent="0.25">
      <c r="A151" t="s">
        <v>407</v>
      </c>
      <c r="B151" t="s">
        <v>408</v>
      </c>
      <c r="C151" t="s">
        <v>400</v>
      </c>
      <c r="D151">
        <v>5.22</v>
      </c>
      <c r="E151">
        <v>2.0499999999999998</v>
      </c>
      <c r="F151">
        <v>10.81</v>
      </c>
      <c r="G151">
        <v>10.42</v>
      </c>
      <c r="H151">
        <v>68.62</v>
      </c>
      <c r="I151">
        <v>1.79</v>
      </c>
      <c r="J151">
        <v>0</v>
      </c>
      <c r="K151" t="s">
        <v>344</v>
      </c>
      <c r="L151">
        <v>503</v>
      </c>
      <c r="M151">
        <v>66</v>
      </c>
      <c r="N151" s="1">
        <f t="shared" si="4"/>
        <v>0.8687872763419483</v>
      </c>
      <c r="O151" s="1">
        <f t="shared" si="5"/>
        <v>0.1312127236580517</v>
      </c>
    </row>
    <row r="152" spans="1:15" x14ac:dyDescent="0.25">
      <c r="A152" t="s">
        <v>409</v>
      </c>
      <c r="B152" t="s">
        <v>410</v>
      </c>
      <c r="C152" t="s">
        <v>411</v>
      </c>
      <c r="D152">
        <v>5.12</v>
      </c>
      <c r="E152">
        <v>3.85</v>
      </c>
      <c r="F152">
        <v>10.59</v>
      </c>
      <c r="G152">
        <v>17</v>
      </c>
      <c r="H152">
        <v>68</v>
      </c>
      <c r="I152">
        <v>6</v>
      </c>
      <c r="J152">
        <v>0</v>
      </c>
      <c r="K152" t="s">
        <v>344</v>
      </c>
      <c r="L152">
        <v>503</v>
      </c>
      <c r="M152">
        <v>70</v>
      </c>
      <c r="N152" s="1">
        <f t="shared" si="4"/>
        <v>0.86083499005964215</v>
      </c>
      <c r="O152" s="1">
        <f t="shared" si="5"/>
        <v>0.13916500994035785</v>
      </c>
    </row>
    <row r="153" spans="1:15" x14ac:dyDescent="0.25">
      <c r="A153" t="s">
        <v>412</v>
      </c>
      <c r="B153" t="s">
        <v>413</v>
      </c>
      <c r="C153" t="s">
        <v>397</v>
      </c>
      <c r="D153">
        <v>5.08</v>
      </c>
      <c r="E153">
        <v>2.04</v>
      </c>
      <c r="F153">
        <v>10.51</v>
      </c>
      <c r="G153">
        <v>10.77</v>
      </c>
      <c r="H153">
        <v>64.3</v>
      </c>
      <c r="I153">
        <v>1.77</v>
      </c>
      <c r="J153">
        <v>0</v>
      </c>
      <c r="K153" t="s">
        <v>344</v>
      </c>
      <c r="L153">
        <v>503</v>
      </c>
      <c r="M153">
        <v>72</v>
      </c>
      <c r="N153" s="1">
        <f t="shared" si="4"/>
        <v>0.85685884691848901</v>
      </c>
      <c r="O153" s="1">
        <f t="shared" si="5"/>
        <v>0.14314115308151093</v>
      </c>
    </row>
    <row r="154" spans="1:15" x14ac:dyDescent="0.25">
      <c r="A154" t="s">
        <v>414</v>
      </c>
      <c r="B154" t="s">
        <v>415</v>
      </c>
      <c r="C154" t="s">
        <v>416</v>
      </c>
      <c r="D154">
        <v>5.07</v>
      </c>
      <c r="E154">
        <v>3.47</v>
      </c>
      <c r="F154">
        <v>10.49</v>
      </c>
      <c r="G154">
        <v>18</v>
      </c>
      <c r="H154">
        <v>70</v>
      </c>
      <c r="I154">
        <v>6</v>
      </c>
      <c r="J154">
        <v>3</v>
      </c>
      <c r="K154" t="s">
        <v>344</v>
      </c>
      <c r="L154">
        <v>503</v>
      </c>
      <c r="M154">
        <v>72</v>
      </c>
      <c r="N154" s="1">
        <f t="shared" si="4"/>
        <v>0.85685884691848901</v>
      </c>
      <c r="O154" s="1">
        <f t="shared" si="5"/>
        <v>0.14314115308151093</v>
      </c>
    </row>
    <row r="155" spans="1:15" x14ac:dyDescent="0.25">
      <c r="A155" t="s">
        <v>417</v>
      </c>
      <c r="B155" t="s">
        <v>418</v>
      </c>
      <c r="C155" t="s">
        <v>419</v>
      </c>
      <c r="D155">
        <v>4.9000000000000004</v>
      </c>
      <c r="E155">
        <v>2.5499999999999998</v>
      </c>
      <c r="F155">
        <v>10.130000000000001</v>
      </c>
      <c r="G155">
        <v>15.6</v>
      </c>
      <c r="H155">
        <v>74.64</v>
      </c>
      <c r="I155">
        <v>0.92</v>
      </c>
      <c r="J155">
        <v>3.55</v>
      </c>
      <c r="K155" t="s">
        <v>344</v>
      </c>
      <c r="L155">
        <v>503</v>
      </c>
      <c r="M155">
        <v>76</v>
      </c>
      <c r="N155" s="1">
        <f t="shared" si="4"/>
        <v>0.84890656063618297</v>
      </c>
      <c r="O155" s="1">
        <f t="shared" si="5"/>
        <v>0.15109343936381708</v>
      </c>
    </row>
    <row r="156" spans="1:15" x14ac:dyDescent="0.25">
      <c r="A156" t="s">
        <v>420</v>
      </c>
      <c r="B156" t="s">
        <v>421</v>
      </c>
      <c r="D156">
        <v>4.84</v>
      </c>
      <c r="E156">
        <v>0</v>
      </c>
      <c r="F156">
        <v>10.01</v>
      </c>
      <c r="G156">
        <v>5</v>
      </c>
      <c r="H156">
        <v>46</v>
      </c>
      <c r="I156">
        <v>1</v>
      </c>
      <c r="J156">
        <v>0</v>
      </c>
      <c r="K156" t="s">
        <v>344</v>
      </c>
      <c r="L156">
        <v>503</v>
      </c>
      <c r="M156">
        <v>79</v>
      </c>
      <c r="N156" s="1">
        <f t="shared" si="4"/>
        <v>0.84294234592445327</v>
      </c>
      <c r="O156" s="1">
        <f t="shared" si="5"/>
        <v>0.15705765407554673</v>
      </c>
    </row>
    <row r="157" spans="1:15" x14ac:dyDescent="0.25">
      <c r="A157" t="s">
        <v>422</v>
      </c>
      <c r="B157" t="s">
        <v>423</v>
      </c>
      <c r="C157" t="s">
        <v>424</v>
      </c>
      <c r="D157">
        <v>4.83</v>
      </c>
      <c r="E157">
        <v>2.97</v>
      </c>
      <c r="F157">
        <v>9.98</v>
      </c>
      <c r="G157">
        <v>19.05</v>
      </c>
      <c r="H157">
        <v>68.88</v>
      </c>
      <c r="I157">
        <v>0.93</v>
      </c>
      <c r="J157">
        <v>0</v>
      </c>
      <c r="K157" t="s">
        <v>344</v>
      </c>
      <c r="L157">
        <v>503</v>
      </c>
      <c r="M157">
        <v>79</v>
      </c>
      <c r="N157" s="1">
        <f t="shared" si="4"/>
        <v>0.84294234592445327</v>
      </c>
      <c r="O157" s="1">
        <f t="shared" si="5"/>
        <v>0.15705765407554673</v>
      </c>
    </row>
    <row r="158" spans="1:15" x14ac:dyDescent="0.25">
      <c r="A158" t="s">
        <v>425</v>
      </c>
      <c r="B158" t="s">
        <v>426</v>
      </c>
      <c r="C158" t="s">
        <v>427</v>
      </c>
      <c r="D158">
        <v>4.8099999999999996</v>
      </c>
      <c r="E158">
        <v>1.43</v>
      </c>
      <c r="F158">
        <v>9.93</v>
      </c>
      <c r="G158">
        <v>10.24</v>
      </c>
      <c r="H158">
        <v>74.099999999999994</v>
      </c>
      <c r="I158">
        <v>1.81</v>
      </c>
      <c r="J158">
        <v>0.96</v>
      </c>
      <c r="K158" t="s">
        <v>344</v>
      </c>
      <c r="L158">
        <v>503</v>
      </c>
      <c r="M158">
        <v>79</v>
      </c>
      <c r="N158" s="1">
        <f t="shared" si="4"/>
        <v>0.84294234592445327</v>
      </c>
      <c r="O158" s="1">
        <f t="shared" si="5"/>
        <v>0.15705765407554673</v>
      </c>
    </row>
    <row r="159" spans="1:15" x14ac:dyDescent="0.25">
      <c r="A159" t="s">
        <v>428</v>
      </c>
      <c r="B159" t="s">
        <v>429</v>
      </c>
      <c r="C159" t="s">
        <v>234</v>
      </c>
      <c r="D159">
        <v>4.74</v>
      </c>
      <c r="F159">
        <v>9.8000000000000007</v>
      </c>
      <c r="G159">
        <v>16.39</v>
      </c>
      <c r="H159">
        <v>81.69</v>
      </c>
      <c r="I159">
        <v>1.92</v>
      </c>
      <c r="J159">
        <v>0</v>
      </c>
      <c r="K159" t="s">
        <v>344</v>
      </c>
      <c r="L159">
        <v>503</v>
      </c>
      <c r="M159">
        <v>82</v>
      </c>
      <c r="N159" s="1">
        <f t="shared" si="4"/>
        <v>0.83697813121272369</v>
      </c>
      <c r="O159" s="1">
        <f t="shared" si="5"/>
        <v>0.16302186878727634</v>
      </c>
    </row>
    <row r="160" spans="1:15" x14ac:dyDescent="0.25">
      <c r="A160" t="s">
        <v>430</v>
      </c>
      <c r="B160" t="s">
        <v>431</v>
      </c>
      <c r="C160" t="s">
        <v>432</v>
      </c>
      <c r="D160">
        <v>4.66</v>
      </c>
      <c r="E160">
        <v>0</v>
      </c>
      <c r="F160">
        <v>9.61</v>
      </c>
      <c r="G160">
        <v>18.98</v>
      </c>
      <c r="H160">
        <v>74.91</v>
      </c>
      <c r="I160">
        <v>0.91</v>
      </c>
      <c r="J160">
        <v>0</v>
      </c>
      <c r="K160" t="s">
        <v>344</v>
      </c>
      <c r="L160">
        <v>503</v>
      </c>
      <c r="M160">
        <v>88</v>
      </c>
      <c r="N160" s="1">
        <f t="shared" si="4"/>
        <v>0.8250497017892644</v>
      </c>
      <c r="O160" s="1">
        <f t="shared" si="5"/>
        <v>0.1749502982107356</v>
      </c>
    </row>
    <row r="161" spans="1:15" x14ac:dyDescent="0.25">
      <c r="A161" t="s">
        <v>433</v>
      </c>
      <c r="B161" t="s">
        <v>434</v>
      </c>
      <c r="C161" t="s">
        <v>435</v>
      </c>
      <c r="D161">
        <v>4.6399999999999997</v>
      </c>
      <c r="E161">
        <v>2.91</v>
      </c>
      <c r="F161">
        <v>9.58</v>
      </c>
      <c r="G161">
        <v>13.08</v>
      </c>
      <c r="H161">
        <v>61.78</v>
      </c>
      <c r="I161">
        <v>1.01</v>
      </c>
      <c r="J161">
        <v>9.07</v>
      </c>
      <c r="K161" t="s">
        <v>344</v>
      </c>
      <c r="L161">
        <v>503</v>
      </c>
      <c r="M161">
        <v>88</v>
      </c>
      <c r="N161" s="1">
        <f t="shared" si="4"/>
        <v>0.8250497017892644</v>
      </c>
      <c r="O161" s="1">
        <f t="shared" si="5"/>
        <v>0.1749502982107356</v>
      </c>
    </row>
    <row r="162" spans="1:15" x14ac:dyDescent="0.25">
      <c r="A162" t="s">
        <v>436</v>
      </c>
      <c r="B162" t="s">
        <v>437</v>
      </c>
      <c r="C162" t="s">
        <v>427</v>
      </c>
      <c r="D162">
        <v>4.51</v>
      </c>
      <c r="E162">
        <v>1.43</v>
      </c>
      <c r="F162">
        <v>9.3000000000000007</v>
      </c>
      <c r="G162">
        <v>10.28</v>
      </c>
      <c r="H162">
        <v>73.84</v>
      </c>
      <c r="I162">
        <v>1.83</v>
      </c>
      <c r="J162">
        <v>0.97</v>
      </c>
      <c r="K162" t="s">
        <v>344</v>
      </c>
      <c r="L162">
        <v>503</v>
      </c>
      <c r="M162">
        <v>91</v>
      </c>
      <c r="N162" s="1">
        <f t="shared" si="4"/>
        <v>0.81908548707753481</v>
      </c>
      <c r="O162" s="1">
        <f t="shared" si="5"/>
        <v>0.18091451292246521</v>
      </c>
    </row>
    <row r="163" spans="1:15" x14ac:dyDescent="0.25">
      <c r="A163" t="s">
        <v>438</v>
      </c>
      <c r="B163" t="s">
        <v>439</v>
      </c>
      <c r="C163" t="s">
        <v>440</v>
      </c>
      <c r="D163">
        <v>4.49</v>
      </c>
      <c r="E163">
        <v>2.5</v>
      </c>
      <c r="F163">
        <v>9.26</v>
      </c>
      <c r="G163">
        <v>9</v>
      </c>
      <c r="H163">
        <v>90</v>
      </c>
      <c r="I163">
        <v>1</v>
      </c>
      <c r="J163">
        <v>0</v>
      </c>
      <c r="K163" t="s">
        <v>344</v>
      </c>
      <c r="L163">
        <v>503</v>
      </c>
      <c r="M163">
        <v>92</v>
      </c>
      <c r="N163" s="1">
        <f t="shared" si="4"/>
        <v>0.81709741550695825</v>
      </c>
      <c r="O163" s="1">
        <f t="shared" si="5"/>
        <v>0.18290258449304175</v>
      </c>
    </row>
    <row r="164" spans="1:15" x14ac:dyDescent="0.25">
      <c r="A164" t="s">
        <v>441</v>
      </c>
      <c r="B164" t="s">
        <v>442</v>
      </c>
      <c r="D164">
        <v>4.46</v>
      </c>
      <c r="E164">
        <v>0</v>
      </c>
      <c r="F164">
        <v>9.1999999999999993</v>
      </c>
      <c r="G164">
        <v>3.23</v>
      </c>
      <c r="H164">
        <v>89.71</v>
      </c>
      <c r="I164">
        <v>2.2200000000000002</v>
      </c>
      <c r="J164">
        <v>0</v>
      </c>
      <c r="K164" t="s">
        <v>344</v>
      </c>
      <c r="L164">
        <v>503</v>
      </c>
      <c r="M164">
        <v>93</v>
      </c>
      <c r="N164" s="1">
        <f t="shared" si="4"/>
        <v>0.81510934393638168</v>
      </c>
      <c r="O164" s="1">
        <f t="shared" si="5"/>
        <v>0.18489065606361829</v>
      </c>
    </row>
    <row r="165" spans="1:15" x14ac:dyDescent="0.25">
      <c r="A165" t="s">
        <v>443</v>
      </c>
      <c r="B165" t="s">
        <v>444</v>
      </c>
      <c r="C165" t="s">
        <v>445</v>
      </c>
      <c r="D165">
        <v>4.42</v>
      </c>
      <c r="E165">
        <v>1.1200000000000001</v>
      </c>
      <c r="F165">
        <v>9.1199999999999992</v>
      </c>
      <c r="G165">
        <v>6.36</v>
      </c>
      <c r="H165">
        <v>87.66</v>
      </c>
      <c r="I165">
        <v>0.92</v>
      </c>
      <c r="J165">
        <v>4.2699999999999996</v>
      </c>
      <c r="K165" t="s">
        <v>344</v>
      </c>
      <c r="L165">
        <v>503</v>
      </c>
      <c r="M165">
        <v>95</v>
      </c>
      <c r="N165" s="1">
        <f t="shared" si="4"/>
        <v>0.81113320079522866</v>
      </c>
      <c r="O165" s="1">
        <f t="shared" si="5"/>
        <v>0.18886679920477137</v>
      </c>
    </row>
    <row r="166" spans="1:15" x14ac:dyDescent="0.25">
      <c r="A166" t="s">
        <v>446</v>
      </c>
      <c r="B166" t="s">
        <v>447</v>
      </c>
      <c r="C166" t="s">
        <v>448</v>
      </c>
      <c r="D166">
        <v>4.42</v>
      </c>
      <c r="E166">
        <v>1.37</v>
      </c>
      <c r="F166">
        <v>9.11</v>
      </c>
      <c r="G166">
        <v>10</v>
      </c>
      <c r="H166">
        <v>79</v>
      </c>
      <c r="I166">
        <v>4</v>
      </c>
      <c r="J166">
        <v>0</v>
      </c>
      <c r="K166" t="s">
        <v>344</v>
      </c>
      <c r="L166">
        <v>503</v>
      </c>
      <c r="M166">
        <v>95</v>
      </c>
      <c r="N166" s="1">
        <f t="shared" si="4"/>
        <v>0.81113320079522866</v>
      </c>
      <c r="O166" s="1">
        <f t="shared" si="5"/>
        <v>0.18886679920477137</v>
      </c>
    </row>
    <row r="167" spans="1:15" x14ac:dyDescent="0.25">
      <c r="A167" t="s">
        <v>449</v>
      </c>
      <c r="B167" t="s">
        <v>450</v>
      </c>
      <c r="C167" t="s">
        <v>445</v>
      </c>
      <c r="D167">
        <v>4.41</v>
      </c>
      <c r="E167">
        <v>1.1200000000000001</v>
      </c>
      <c r="F167">
        <v>9.1</v>
      </c>
      <c r="G167">
        <v>6.35</v>
      </c>
      <c r="H167">
        <v>87.69</v>
      </c>
      <c r="I167">
        <v>0.93</v>
      </c>
      <c r="J167">
        <v>4.17</v>
      </c>
      <c r="K167" t="s">
        <v>344</v>
      </c>
      <c r="L167">
        <v>503</v>
      </c>
      <c r="M167">
        <v>95</v>
      </c>
      <c r="N167" s="1">
        <f t="shared" si="4"/>
        <v>0.81113320079522866</v>
      </c>
      <c r="O167" s="1">
        <f t="shared" si="5"/>
        <v>0.18886679920477137</v>
      </c>
    </row>
    <row r="168" spans="1:15" x14ac:dyDescent="0.25">
      <c r="A168" t="s">
        <v>451</v>
      </c>
      <c r="B168" t="s">
        <v>452</v>
      </c>
      <c r="C168" t="s">
        <v>453</v>
      </c>
      <c r="D168">
        <v>4.3600000000000003</v>
      </c>
      <c r="E168">
        <v>2.11</v>
      </c>
      <c r="F168">
        <v>8.99</v>
      </c>
      <c r="G168">
        <v>8.1999999999999993</v>
      </c>
      <c r="H168">
        <v>82.81</v>
      </c>
      <c r="I168">
        <v>0.46</v>
      </c>
      <c r="J168">
        <v>0</v>
      </c>
      <c r="K168" t="s">
        <v>344</v>
      </c>
      <c r="L168">
        <v>503</v>
      </c>
      <c r="M168">
        <v>95</v>
      </c>
      <c r="N168" s="1">
        <f t="shared" si="4"/>
        <v>0.81113320079522866</v>
      </c>
      <c r="O168" s="1">
        <f t="shared" si="5"/>
        <v>0.18886679920477137</v>
      </c>
    </row>
    <row r="169" spans="1:15" x14ac:dyDescent="0.25">
      <c r="A169" t="s">
        <v>454</v>
      </c>
      <c r="B169" t="s">
        <v>455</v>
      </c>
      <c r="C169" t="s">
        <v>456</v>
      </c>
      <c r="D169">
        <v>4.32</v>
      </c>
      <c r="E169">
        <v>3.37</v>
      </c>
      <c r="F169">
        <v>8.9</v>
      </c>
      <c r="G169">
        <v>6.3</v>
      </c>
      <c r="H169">
        <v>87.43</v>
      </c>
      <c r="I169">
        <v>1.83</v>
      </c>
      <c r="J169">
        <v>0</v>
      </c>
      <c r="K169" t="s">
        <v>344</v>
      </c>
      <c r="L169">
        <v>503</v>
      </c>
      <c r="M169">
        <v>95</v>
      </c>
      <c r="N169" s="1">
        <f t="shared" si="4"/>
        <v>0.81113320079522866</v>
      </c>
      <c r="O169" s="1">
        <f t="shared" si="5"/>
        <v>0.18886679920477137</v>
      </c>
    </row>
    <row r="170" spans="1:15" x14ac:dyDescent="0.25">
      <c r="A170" t="s">
        <v>457</v>
      </c>
      <c r="B170" t="s">
        <v>458</v>
      </c>
      <c r="C170" t="s">
        <v>459</v>
      </c>
      <c r="D170">
        <v>4.3099999999999996</v>
      </c>
      <c r="E170">
        <v>1.73</v>
      </c>
      <c r="F170">
        <v>8.8800000000000008</v>
      </c>
      <c r="G170">
        <v>12.66</v>
      </c>
      <c r="H170">
        <v>76.42</v>
      </c>
      <c r="I170">
        <v>1.78</v>
      </c>
      <c r="J170">
        <v>0</v>
      </c>
      <c r="K170" t="s">
        <v>344</v>
      </c>
      <c r="L170">
        <v>503</v>
      </c>
      <c r="M170">
        <v>96</v>
      </c>
      <c r="N170" s="1">
        <f t="shared" si="4"/>
        <v>0.80914512922465209</v>
      </c>
      <c r="O170" s="1">
        <f t="shared" si="5"/>
        <v>0.19085487077534791</v>
      </c>
    </row>
    <row r="171" spans="1:15" x14ac:dyDescent="0.25">
      <c r="A171" t="s">
        <v>460</v>
      </c>
      <c r="B171" t="s">
        <v>461</v>
      </c>
      <c r="C171" t="s">
        <v>416</v>
      </c>
      <c r="D171">
        <v>4.29</v>
      </c>
      <c r="E171">
        <v>3.48</v>
      </c>
      <c r="F171">
        <v>8.84</v>
      </c>
      <c r="G171">
        <v>19.829999999999998</v>
      </c>
      <c r="H171">
        <v>69.959999999999994</v>
      </c>
      <c r="I171">
        <v>5.12</v>
      </c>
      <c r="J171">
        <v>1.23</v>
      </c>
      <c r="K171" t="s">
        <v>344</v>
      </c>
      <c r="L171">
        <v>503</v>
      </c>
      <c r="M171">
        <v>97</v>
      </c>
      <c r="N171" s="1">
        <f t="shared" si="4"/>
        <v>0.80715705765407553</v>
      </c>
      <c r="O171" s="1">
        <f t="shared" si="5"/>
        <v>0.19284294234592445</v>
      </c>
    </row>
    <row r="172" spans="1:15" x14ac:dyDescent="0.25">
      <c r="A172" t="s">
        <v>462</v>
      </c>
      <c r="B172" t="s">
        <v>463</v>
      </c>
      <c r="C172" t="s">
        <v>416</v>
      </c>
      <c r="D172">
        <v>4.29</v>
      </c>
      <c r="E172">
        <v>3.47</v>
      </c>
      <c r="F172">
        <v>8.84</v>
      </c>
      <c r="G172">
        <v>19.829999999999998</v>
      </c>
      <c r="H172">
        <v>69.959999999999994</v>
      </c>
      <c r="I172">
        <v>5.12</v>
      </c>
      <c r="J172">
        <v>1.23</v>
      </c>
      <c r="K172" t="s">
        <v>344</v>
      </c>
      <c r="L172">
        <v>503</v>
      </c>
      <c r="M172">
        <v>97</v>
      </c>
      <c r="N172" s="1">
        <f t="shared" si="4"/>
        <v>0.80715705765407553</v>
      </c>
      <c r="O172" s="1">
        <f t="shared" si="5"/>
        <v>0.19284294234592445</v>
      </c>
    </row>
    <row r="173" spans="1:15" x14ac:dyDescent="0.25">
      <c r="A173" t="s">
        <v>464</v>
      </c>
      <c r="B173" t="s">
        <v>465</v>
      </c>
      <c r="C173" t="s">
        <v>466</v>
      </c>
      <c r="D173">
        <v>4.2300000000000004</v>
      </c>
      <c r="E173">
        <v>4.12</v>
      </c>
      <c r="F173">
        <v>8.7200000000000006</v>
      </c>
      <c r="G173">
        <v>19.7</v>
      </c>
      <c r="H173">
        <v>70.400000000000006</v>
      </c>
      <c r="I173">
        <v>2</v>
      </c>
      <c r="J173">
        <v>0</v>
      </c>
      <c r="K173" t="s">
        <v>344</v>
      </c>
      <c r="L173">
        <v>503</v>
      </c>
      <c r="M173">
        <v>100</v>
      </c>
      <c r="N173" s="1">
        <f t="shared" si="4"/>
        <v>0.80119284294234594</v>
      </c>
      <c r="O173" s="1">
        <f t="shared" si="5"/>
        <v>0.19880715705765409</v>
      </c>
    </row>
    <row r="174" spans="1:15" x14ac:dyDescent="0.25">
      <c r="A174" t="s">
        <v>467</v>
      </c>
      <c r="B174" t="s">
        <v>468</v>
      </c>
      <c r="C174" t="s">
        <v>469</v>
      </c>
      <c r="D174">
        <v>4.16</v>
      </c>
      <c r="E174">
        <v>2.92</v>
      </c>
      <c r="F174">
        <v>8.56</v>
      </c>
      <c r="G174">
        <v>12.53</v>
      </c>
      <c r="H174">
        <v>66.86</v>
      </c>
      <c r="I174">
        <v>0.92</v>
      </c>
      <c r="J174">
        <v>0</v>
      </c>
      <c r="K174" t="s">
        <v>344</v>
      </c>
      <c r="L174">
        <v>503</v>
      </c>
      <c r="M174">
        <v>105</v>
      </c>
      <c r="N174" s="1">
        <f t="shared" si="4"/>
        <v>0.79125248508946322</v>
      </c>
      <c r="O174" s="1">
        <f t="shared" si="5"/>
        <v>0.20874751491053678</v>
      </c>
    </row>
    <row r="175" spans="1:15" x14ac:dyDescent="0.25">
      <c r="A175" t="s">
        <v>470</v>
      </c>
      <c r="B175" t="s">
        <v>471</v>
      </c>
      <c r="C175" t="s">
        <v>472</v>
      </c>
      <c r="D175">
        <v>4.07</v>
      </c>
      <c r="E175">
        <v>2.38</v>
      </c>
      <c r="F175">
        <v>8.3800000000000008</v>
      </c>
      <c r="G175">
        <v>5</v>
      </c>
      <c r="H175">
        <v>55</v>
      </c>
      <c r="I175">
        <v>2</v>
      </c>
      <c r="J175">
        <v>0</v>
      </c>
      <c r="K175" t="s">
        <v>344</v>
      </c>
      <c r="L175">
        <v>503</v>
      </c>
      <c r="M175">
        <v>109</v>
      </c>
      <c r="N175" s="1">
        <f t="shared" si="4"/>
        <v>0.78330019880715707</v>
      </c>
      <c r="O175" s="1">
        <f t="shared" si="5"/>
        <v>0.21669980119284293</v>
      </c>
    </row>
    <row r="176" spans="1:15" x14ac:dyDescent="0.25">
      <c r="A176" t="s">
        <v>473</v>
      </c>
      <c r="B176" t="s">
        <v>474</v>
      </c>
      <c r="C176" t="s">
        <v>371</v>
      </c>
      <c r="D176">
        <v>4.0199999999999996</v>
      </c>
      <c r="E176">
        <v>2.92</v>
      </c>
      <c r="F176">
        <v>8.27</v>
      </c>
      <c r="G176">
        <v>14.5</v>
      </c>
      <c r="H176">
        <v>75</v>
      </c>
      <c r="I176">
        <v>2</v>
      </c>
      <c r="J176">
        <v>0</v>
      </c>
      <c r="K176" t="s">
        <v>344</v>
      </c>
      <c r="L176">
        <v>503</v>
      </c>
      <c r="M176">
        <v>112</v>
      </c>
      <c r="N176" s="1">
        <f t="shared" si="4"/>
        <v>0.77733598409542748</v>
      </c>
      <c r="O176" s="1">
        <f t="shared" si="5"/>
        <v>0.22266401590457258</v>
      </c>
    </row>
    <row r="177" spans="1:15" x14ac:dyDescent="0.25">
      <c r="A177" t="s">
        <v>475</v>
      </c>
      <c r="B177" t="s">
        <v>476</v>
      </c>
      <c r="C177" t="s">
        <v>264</v>
      </c>
      <c r="D177">
        <v>4.01</v>
      </c>
      <c r="E177">
        <v>3.53</v>
      </c>
      <c r="F177">
        <v>8.25</v>
      </c>
      <c r="G177">
        <v>16</v>
      </c>
      <c r="H177">
        <v>70</v>
      </c>
      <c r="I177">
        <v>6</v>
      </c>
      <c r="J177">
        <v>2.5</v>
      </c>
      <c r="K177" t="s">
        <v>344</v>
      </c>
      <c r="L177">
        <v>503</v>
      </c>
      <c r="M177">
        <v>112</v>
      </c>
      <c r="N177" s="1">
        <f t="shared" si="4"/>
        <v>0.77733598409542748</v>
      </c>
      <c r="O177" s="1">
        <f t="shared" si="5"/>
        <v>0.22266401590457258</v>
      </c>
    </row>
    <row r="178" spans="1:15" x14ac:dyDescent="0.25">
      <c r="A178" t="s">
        <v>477</v>
      </c>
      <c r="B178" t="s">
        <v>478</v>
      </c>
      <c r="C178" t="s">
        <v>301</v>
      </c>
      <c r="D178">
        <v>3.95</v>
      </c>
      <c r="E178">
        <v>2.14</v>
      </c>
      <c r="F178">
        <v>8.1199999999999992</v>
      </c>
      <c r="G178">
        <v>14.66</v>
      </c>
      <c r="H178">
        <v>81.84</v>
      </c>
      <c r="I178">
        <v>1.95</v>
      </c>
      <c r="J178">
        <v>0</v>
      </c>
      <c r="K178" t="s">
        <v>344</v>
      </c>
      <c r="L178">
        <v>503</v>
      </c>
      <c r="M178">
        <v>114</v>
      </c>
      <c r="N178" s="1">
        <f t="shared" si="4"/>
        <v>0.77335984095427435</v>
      </c>
      <c r="O178" s="1">
        <f t="shared" si="5"/>
        <v>0.22664015904572565</v>
      </c>
    </row>
    <row r="179" spans="1:15" x14ac:dyDescent="0.25">
      <c r="A179" t="s">
        <v>479</v>
      </c>
      <c r="B179" t="s">
        <v>480</v>
      </c>
      <c r="C179" t="s">
        <v>481</v>
      </c>
      <c r="D179">
        <v>3.89</v>
      </c>
      <c r="E179">
        <v>26.62</v>
      </c>
      <c r="F179">
        <v>8</v>
      </c>
      <c r="G179">
        <v>13.5</v>
      </c>
      <c r="H179">
        <v>70.150000000000006</v>
      </c>
      <c r="I179">
        <v>1.81</v>
      </c>
      <c r="J179">
        <v>0.96</v>
      </c>
      <c r="K179" t="s">
        <v>344</v>
      </c>
      <c r="L179">
        <v>503</v>
      </c>
      <c r="M179">
        <v>116</v>
      </c>
      <c r="N179" s="1">
        <f t="shared" si="4"/>
        <v>0.76938369781312121</v>
      </c>
      <c r="O179" s="1">
        <f t="shared" si="5"/>
        <v>0.23061630218687873</v>
      </c>
    </row>
    <row r="180" spans="1:15" x14ac:dyDescent="0.25">
      <c r="A180" t="s">
        <v>482</v>
      </c>
      <c r="B180" t="s">
        <v>483</v>
      </c>
      <c r="C180" t="s">
        <v>484</v>
      </c>
      <c r="D180">
        <v>3.88</v>
      </c>
      <c r="E180">
        <v>1.68</v>
      </c>
      <c r="F180">
        <v>7.98</v>
      </c>
      <c r="G180">
        <v>11.53</v>
      </c>
      <c r="H180">
        <v>80.930000000000007</v>
      </c>
      <c r="I180">
        <v>1.76</v>
      </c>
      <c r="J180">
        <v>0.88</v>
      </c>
      <c r="K180" t="s">
        <v>344</v>
      </c>
      <c r="L180">
        <v>503</v>
      </c>
      <c r="M180">
        <v>116</v>
      </c>
      <c r="N180" s="1">
        <f t="shared" si="4"/>
        <v>0.76938369781312121</v>
      </c>
      <c r="O180" s="1">
        <f t="shared" si="5"/>
        <v>0.23061630218687873</v>
      </c>
    </row>
    <row r="181" spans="1:15" x14ac:dyDescent="0.25">
      <c r="A181" t="s">
        <v>485</v>
      </c>
      <c r="B181" t="s">
        <v>486</v>
      </c>
      <c r="C181" t="s">
        <v>487</v>
      </c>
      <c r="D181">
        <v>3.87</v>
      </c>
      <c r="E181">
        <v>4.1500000000000004</v>
      </c>
      <c r="F181">
        <v>7.96</v>
      </c>
      <c r="G181">
        <v>15</v>
      </c>
      <c r="H181">
        <v>74</v>
      </c>
      <c r="I181">
        <v>6</v>
      </c>
      <c r="J181">
        <v>1.25</v>
      </c>
      <c r="K181" t="s">
        <v>344</v>
      </c>
      <c r="L181">
        <v>503</v>
      </c>
      <c r="M181">
        <v>118</v>
      </c>
      <c r="N181" s="1">
        <f t="shared" si="4"/>
        <v>0.76540755467196819</v>
      </c>
      <c r="O181" s="1">
        <f t="shared" si="5"/>
        <v>0.23459244532803181</v>
      </c>
    </row>
    <row r="182" spans="1:15" x14ac:dyDescent="0.25">
      <c r="A182" t="s">
        <v>488</v>
      </c>
      <c r="B182" t="s">
        <v>489</v>
      </c>
      <c r="C182" t="s">
        <v>490</v>
      </c>
      <c r="D182">
        <v>3.87</v>
      </c>
      <c r="E182">
        <v>2.5099999999999998</v>
      </c>
      <c r="F182">
        <v>7.96</v>
      </c>
      <c r="G182">
        <v>10.11</v>
      </c>
      <c r="H182">
        <v>71.349999999999994</v>
      </c>
      <c r="I182">
        <v>0.95</v>
      </c>
      <c r="J182">
        <v>0</v>
      </c>
      <c r="K182" t="s">
        <v>344</v>
      </c>
      <c r="L182">
        <v>503</v>
      </c>
      <c r="M182">
        <v>118</v>
      </c>
      <c r="N182" s="1">
        <f t="shared" si="4"/>
        <v>0.76540755467196819</v>
      </c>
      <c r="O182" s="1">
        <f t="shared" si="5"/>
        <v>0.23459244532803181</v>
      </c>
    </row>
    <row r="183" spans="1:15" x14ac:dyDescent="0.25">
      <c r="A183" t="s">
        <v>491</v>
      </c>
      <c r="B183" t="s">
        <v>492</v>
      </c>
      <c r="C183" t="s">
        <v>493</v>
      </c>
      <c r="D183">
        <v>3.87</v>
      </c>
      <c r="E183">
        <v>1.1200000000000001</v>
      </c>
      <c r="F183">
        <v>7.96</v>
      </c>
      <c r="G183">
        <v>8.1199999999999992</v>
      </c>
      <c r="H183">
        <v>86.78</v>
      </c>
      <c r="I183">
        <v>0.93</v>
      </c>
      <c r="J183">
        <v>4.63</v>
      </c>
      <c r="K183" t="s">
        <v>344</v>
      </c>
      <c r="L183">
        <v>503</v>
      </c>
      <c r="M183">
        <v>118</v>
      </c>
      <c r="N183" s="1">
        <f t="shared" si="4"/>
        <v>0.76540755467196819</v>
      </c>
      <c r="O183" s="1">
        <f t="shared" si="5"/>
        <v>0.23459244532803181</v>
      </c>
    </row>
    <row r="184" spans="1:15" x14ac:dyDescent="0.25">
      <c r="A184" t="s">
        <v>494</v>
      </c>
      <c r="B184" t="s">
        <v>495</v>
      </c>
      <c r="C184" t="s">
        <v>490</v>
      </c>
      <c r="D184">
        <v>3.86</v>
      </c>
      <c r="E184">
        <v>2.52</v>
      </c>
      <c r="F184">
        <v>7.94</v>
      </c>
      <c r="G184">
        <v>16.59</v>
      </c>
      <c r="H184">
        <v>46.62</v>
      </c>
      <c r="I184">
        <v>4.4400000000000004</v>
      </c>
      <c r="J184">
        <v>8.08</v>
      </c>
      <c r="K184" t="s">
        <v>344</v>
      </c>
      <c r="L184">
        <v>503</v>
      </c>
      <c r="M184">
        <v>118</v>
      </c>
      <c r="N184" s="1">
        <f t="shared" si="4"/>
        <v>0.76540755467196819</v>
      </c>
      <c r="O184" s="1">
        <f t="shared" si="5"/>
        <v>0.23459244532803181</v>
      </c>
    </row>
    <row r="185" spans="1:15" x14ac:dyDescent="0.25">
      <c r="A185" t="s">
        <v>496</v>
      </c>
      <c r="B185" t="s">
        <v>497</v>
      </c>
      <c r="C185" t="s">
        <v>445</v>
      </c>
      <c r="D185">
        <v>3.84</v>
      </c>
      <c r="E185">
        <v>1.1200000000000001</v>
      </c>
      <c r="F185">
        <v>7.9</v>
      </c>
      <c r="G185">
        <v>4.67</v>
      </c>
      <c r="H185">
        <v>86.53</v>
      </c>
      <c r="I185">
        <v>0.92</v>
      </c>
      <c r="J185">
        <v>4.67</v>
      </c>
      <c r="K185" t="s">
        <v>344</v>
      </c>
      <c r="L185">
        <v>503</v>
      </c>
      <c r="M185">
        <v>119</v>
      </c>
      <c r="N185" s="1">
        <f t="shared" si="4"/>
        <v>0.76341948310139163</v>
      </c>
      <c r="O185" s="1">
        <f t="shared" si="5"/>
        <v>0.23658051689860835</v>
      </c>
    </row>
    <row r="186" spans="1:15" x14ac:dyDescent="0.25">
      <c r="A186" t="s">
        <v>498</v>
      </c>
      <c r="B186" t="s">
        <v>499</v>
      </c>
      <c r="C186" t="s">
        <v>500</v>
      </c>
      <c r="D186">
        <v>3.81</v>
      </c>
      <c r="E186">
        <v>2.91</v>
      </c>
      <c r="F186">
        <v>7.84</v>
      </c>
      <c r="G186">
        <v>9.4</v>
      </c>
      <c r="H186">
        <v>85</v>
      </c>
      <c r="I186">
        <v>1</v>
      </c>
      <c r="J186">
        <v>0</v>
      </c>
      <c r="K186" t="s">
        <v>344</v>
      </c>
      <c r="L186">
        <v>503</v>
      </c>
      <c r="M186">
        <v>119</v>
      </c>
      <c r="N186" s="1">
        <f t="shared" si="4"/>
        <v>0.76341948310139163</v>
      </c>
      <c r="O186" s="1">
        <f t="shared" si="5"/>
        <v>0.23658051689860835</v>
      </c>
    </row>
    <row r="187" spans="1:15" x14ac:dyDescent="0.25">
      <c r="A187" t="s">
        <v>501</v>
      </c>
      <c r="B187" t="s">
        <v>502</v>
      </c>
      <c r="C187" t="s">
        <v>503</v>
      </c>
      <c r="D187">
        <v>3.78</v>
      </c>
      <c r="E187">
        <v>3.83</v>
      </c>
      <c r="F187">
        <v>7.77</v>
      </c>
      <c r="G187">
        <v>7.1</v>
      </c>
      <c r="H187">
        <v>86.68</v>
      </c>
      <c r="I187">
        <v>1</v>
      </c>
      <c r="J187">
        <v>2.12</v>
      </c>
      <c r="K187" t="s">
        <v>344</v>
      </c>
      <c r="L187">
        <v>503</v>
      </c>
      <c r="M187">
        <v>120</v>
      </c>
      <c r="N187" s="1">
        <f t="shared" si="4"/>
        <v>0.76143141153081517</v>
      </c>
      <c r="O187" s="1">
        <f t="shared" si="5"/>
        <v>0.23856858846918488</v>
      </c>
    </row>
    <row r="188" spans="1:15" x14ac:dyDescent="0.25">
      <c r="A188" t="s">
        <v>504</v>
      </c>
      <c r="B188" t="s">
        <v>505</v>
      </c>
      <c r="C188" t="s">
        <v>503</v>
      </c>
      <c r="D188">
        <v>3.78</v>
      </c>
      <c r="E188">
        <v>3.83</v>
      </c>
      <c r="F188">
        <v>7.77</v>
      </c>
      <c r="G188">
        <v>7.1</v>
      </c>
      <c r="H188">
        <v>86.68</v>
      </c>
      <c r="I188">
        <v>1</v>
      </c>
      <c r="J188">
        <v>2.12</v>
      </c>
      <c r="K188" t="s">
        <v>344</v>
      </c>
      <c r="L188">
        <v>503</v>
      </c>
      <c r="M188">
        <v>120</v>
      </c>
      <c r="N188" s="1">
        <f t="shared" si="4"/>
        <v>0.76143141153081517</v>
      </c>
      <c r="O188" s="1">
        <f t="shared" si="5"/>
        <v>0.23856858846918488</v>
      </c>
    </row>
    <row r="189" spans="1:15" x14ac:dyDescent="0.25">
      <c r="A189" t="s">
        <v>506</v>
      </c>
      <c r="B189" t="s">
        <v>507</v>
      </c>
      <c r="C189" t="s">
        <v>503</v>
      </c>
      <c r="D189">
        <v>3.78</v>
      </c>
      <c r="E189">
        <v>3.82</v>
      </c>
      <c r="F189">
        <v>7.77</v>
      </c>
      <c r="G189">
        <v>7.1</v>
      </c>
      <c r="H189">
        <v>86.68</v>
      </c>
      <c r="I189">
        <v>1</v>
      </c>
      <c r="J189">
        <v>2.12</v>
      </c>
      <c r="K189" t="s">
        <v>344</v>
      </c>
      <c r="L189">
        <v>503</v>
      </c>
      <c r="M189">
        <v>120</v>
      </c>
      <c r="N189" s="1">
        <f t="shared" si="4"/>
        <v>0.76143141153081517</v>
      </c>
      <c r="O189" s="1">
        <f t="shared" si="5"/>
        <v>0.23856858846918488</v>
      </c>
    </row>
    <row r="190" spans="1:15" x14ac:dyDescent="0.25">
      <c r="A190" t="s">
        <v>508</v>
      </c>
      <c r="B190" t="s">
        <v>509</v>
      </c>
      <c r="C190" t="s">
        <v>503</v>
      </c>
      <c r="D190">
        <v>3.78</v>
      </c>
      <c r="E190">
        <v>3.82</v>
      </c>
      <c r="F190">
        <v>7.77</v>
      </c>
      <c r="G190">
        <v>7.1</v>
      </c>
      <c r="H190">
        <v>86.68</v>
      </c>
      <c r="I190">
        <v>1</v>
      </c>
      <c r="J190">
        <v>2.12</v>
      </c>
      <c r="K190" t="s">
        <v>344</v>
      </c>
      <c r="L190">
        <v>503</v>
      </c>
      <c r="M190">
        <v>120</v>
      </c>
      <c r="N190" s="1">
        <f t="shared" si="4"/>
        <v>0.76143141153081517</v>
      </c>
      <c r="O190" s="1">
        <f t="shared" si="5"/>
        <v>0.23856858846918488</v>
      </c>
    </row>
    <row r="191" spans="1:15" x14ac:dyDescent="0.25">
      <c r="A191" t="s">
        <v>510</v>
      </c>
      <c r="B191" t="s">
        <v>511</v>
      </c>
      <c r="C191" t="s">
        <v>503</v>
      </c>
      <c r="D191">
        <v>3.78</v>
      </c>
      <c r="E191">
        <v>3.82</v>
      </c>
      <c r="F191">
        <v>7.77</v>
      </c>
      <c r="G191">
        <v>7.1</v>
      </c>
      <c r="H191">
        <v>86.68</v>
      </c>
      <c r="I191">
        <v>1</v>
      </c>
      <c r="J191">
        <v>2.12</v>
      </c>
      <c r="K191" t="s">
        <v>344</v>
      </c>
      <c r="L191">
        <v>503</v>
      </c>
      <c r="M191">
        <v>120</v>
      </c>
      <c r="N191" s="1">
        <f t="shared" si="4"/>
        <v>0.76143141153081517</v>
      </c>
      <c r="O191" s="1">
        <f t="shared" si="5"/>
        <v>0.23856858846918488</v>
      </c>
    </row>
    <row r="192" spans="1:15" x14ac:dyDescent="0.25">
      <c r="A192" t="s">
        <v>512</v>
      </c>
      <c r="B192" t="s">
        <v>513</v>
      </c>
      <c r="C192" t="s">
        <v>514</v>
      </c>
      <c r="D192">
        <v>3.78</v>
      </c>
      <c r="E192">
        <v>1.1200000000000001</v>
      </c>
      <c r="F192">
        <v>7.76</v>
      </c>
      <c r="G192">
        <v>2.52</v>
      </c>
      <c r="H192">
        <v>83.16</v>
      </c>
      <c r="I192">
        <v>1.03</v>
      </c>
      <c r="J192">
        <v>0</v>
      </c>
      <c r="K192" t="s">
        <v>344</v>
      </c>
      <c r="L192">
        <v>503</v>
      </c>
      <c r="M192">
        <v>120</v>
      </c>
      <c r="N192" s="1">
        <f t="shared" si="4"/>
        <v>0.76143141153081517</v>
      </c>
      <c r="O192" s="1">
        <f t="shared" si="5"/>
        <v>0.23856858846918488</v>
      </c>
    </row>
    <row r="193" spans="1:15" x14ac:dyDescent="0.25">
      <c r="A193" t="s">
        <v>515</v>
      </c>
      <c r="B193" t="s">
        <v>516</v>
      </c>
      <c r="C193" t="s">
        <v>517</v>
      </c>
      <c r="D193">
        <v>3.78</v>
      </c>
      <c r="E193">
        <v>2.91</v>
      </c>
      <c r="F193">
        <v>7.77</v>
      </c>
      <c r="G193">
        <v>7.1</v>
      </c>
      <c r="H193">
        <v>86.68</v>
      </c>
      <c r="I193">
        <v>1</v>
      </c>
      <c r="J193">
        <v>2.12</v>
      </c>
      <c r="K193" t="s">
        <v>344</v>
      </c>
      <c r="L193">
        <v>503</v>
      </c>
      <c r="M193">
        <v>120</v>
      </c>
      <c r="N193" s="1">
        <f t="shared" si="4"/>
        <v>0.76143141153081517</v>
      </c>
      <c r="O193" s="1">
        <f t="shared" si="5"/>
        <v>0.23856858846918488</v>
      </c>
    </row>
    <row r="194" spans="1:15" x14ac:dyDescent="0.25">
      <c r="A194" t="s">
        <v>518</v>
      </c>
      <c r="B194" t="s">
        <v>519</v>
      </c>
      <c r="C194" t="s">
        <v>503</v>
      </c>
      <c r="D194">
        <v>3.78</v>
      </c>
      <c r="E194">
        <v>3.83</v>
      </c>
      <c r="F194">
        <v>7.77</v>
      </c>
      <c r="G194">
        <v>7.1</v>
      </c>
      <c r="H194">
        <v>86.68</v>
      </c>
      <c r="I194">
        <v>1</v>
      </c>
      <c r="J194">
        <v>2.12</v>
      </c>
      <c r="K194" t="s">
        <v>344</v>
      </c>
      <c r="L194">
        <v>503</v>
      </c>
      <c r="M194">
        <v>120</v>
      </c>
      <c r="N194" s="1">
        <f t="shared" ref="N194:N257" si="6">1-O194</f>
        <v>0.76143141153081517</v>
      </c>
      <c r="O194" s="1">
        <f t="shared" ref="O194:O257" si="7">M194/L194</f>
        <v>0.23856858846918488</v>
      </c>
    </row>
    <row r="195" spans="1:15" x14ac:dyDescent="0.25">
      <c r="A195" t="s">
        <v>520</v>
      </c>
      <c r="B195" t="s">
        <v>521</v>
      </c>
      <c r="C195" t="s">
        <v>493</v>
      </c>
      <c r="D195">
        <v>3.76</v>
      </c>
      <c r="E195">
        <v>1.1200000000000001</v>
      </c>
      <c r="F195">
        <v>7.72</v>
      </c>
      <c r="G195">
        <v>7.8</v>
      </c>
      <c r="H195">
        <v>87.18</v>
      </c>
      <c r="I195">
        <v>0.94</v>
      </c>
      <c r="J195">
        <v>4.41</v>
      </c>
      <c r="K195" t="s">
        <v>344</v>
      </c>
      <c r="L195">
        <v>503</v>
      </c>
      <c r="M195">
        <v>121</v>
      </c>
      <c r="N195" s="1">
        <f t="shared" si="6"/>
        <v>0.75944333996023861</v>
      </c>
      <c r="O195" s="1">
        <f t="shared" si="7"/>
        <v>0.24055666003976142</v>
      </c>
    </row>
    <row r="196" spans="1:15" x14ac:dyDescent="0.25">
      <c r="A196" t="s">
        <v>522</v>
      </c>
      <c r="B196" t="s">
        <v>523</v>
      </c>
      <c r="C196" t="s">
        <v>524</v>
      </c>
      <c r="D196">
        <v>3.74</v>
      </c>
      <c r="E196">
        <v>2.5</v>
      </c>
      <c r="F196">
        <v>7.69</v>
      </c>
      <c r="G196">
        <v>10</v>
      </c>
      <c r="H196">
        <v>81</v>
      </c>
      <c r="I196">
        <v>2</v>
      </c>
      <c r="J196">
        <v>0</v>
      </c>
      <c r="K196" t="s">
        <v>344</v>
      </c>
      <c r="L196">
        <v>503</v>
      </c>
      <c r="M196">
        <v>121</v>
      </c>
      <c r="N196" s="1">
        <f t="shared" si="6"/>
        <v>0.75944333996023861</v>
      </c>
      <c r="O196" s="1">
        <f t="shared" si="7"/>
        <v>0.24055666003976142</v>
      </c>
    </row>
    <row r="197" spans="1:15" x14ac:dyDescent="0.25">
      <c r="A197" t="s">
        <v>525</v>
      </c>
      <c r="B197" t="s">
        <v>526</v>
      </c>
      <c r="C197" t="s">
        <v>493</v>
      </c>
      <c r="D197">
        <v>3.73</v>
      </c>
      <c r="E197">
        <v>1.1200000000000001</v>
      </c>
      <c r="F197">
        <v>7.67</v>
      </c>
      <c r="G197">
        <v>8.24</v>
      </c>
      <c r="H197">
        <v>86.37</v>
      </c>
      <c r="I197">
        <v>0.93</v>
      </c>
      <c r="J197">
        <v>4.1900000000000004</v>
      </c>
      <c r="K197" t="s">
        <v>344</v>
      </c>
      <c r="L197">
        <v>503</v>
      </c>
      <c r="M197">
        <v>121</v>
      </c>
      <c r="N197" s="1">
        <f t="shared" si="6"/>
        <v>0.75944333996023861</v>
      </c>
      <c r="O197" s="1">
        <f t="shared" si="7"/>
        <v>0.24055666003976142</v>
      </c>
    </row>
    <row r="198" spans="1:15" x14ac:dyDescent="0.25">
      <c r="A198" t="s">
        <v>527</v>
      </c>
      <c r="B198" t="s">
        <v>528</v>
      </c>
      <c r="C198" t="s">
        <v>445</v>
      </c>
      <c r="D198">
        <v>3.73</v>
      </c>
      <c r="E198">
        <v>1.1200000000000001</v>
      </c>
      <c r="F198">
        <v>7.66</v>
      </c>
      <c r="G198">
        <v>4.32</v>
      </c>
      <c r="H198">
        <v>87.34</v>
      </c>
      <c r="I198">
        <v>0.93</v>
      </c>
      <c r="J198">
        <v>4.32</v>
      </c>
      <c r="K198" t="s">
        <v>344</v>
      </c>
      <c r="L198">
        <v>503</v>
      </c>
      <c r="M198">
        <v>121</v>
      </c>
      <c r="N198" s="1">
        <f t="shared" si="6"/>
        <v>0.75944333996023861</v>
      </c>
      <c r="O198" s="1">
        <f t="shared" si="7"/>
        <v>0.24055666003976142</v>
      </c>
    </row>
    <row r="199" spans="1:15" x14ac:dyDescent="0.25">
      <c r="A199" t="s">
        <v>529</v>
      </c>
      <c r="B199" t="s">
        <v>530</v>
      </c>
      <c r="C199" t="s">
        <v>531</v>
      </c>
      <c r="D199">
        <v>3.63</v>
      </c>
      <c r="E199">
        <v>2</v>
      </c>
      <c r="F199">
        <v>7.45</v>
      </c>
      <c r="G199">
        <v>12</v>
      </c>
      <c r="H199">
        <v>80</v>
      </c>
      <c r="I199">
        <v>2</v>
      </c>
      <c r="J199">
        <v>0</v>
      </c>
      <c r="K199" t="s">
        <v>344</v>
      </c>
      <c r="L199">
        <v>503</v>
      </c>
      <c r="M199">
        <v>124</v>
      </c>
      <c r="N199" s="1">
        <f t="shared" si="6"/>
        <v>0.75347912524850891</v>
      </c>
      <c r="O199" s="1">
        <f t="shared" si="7"/>
        <v>0.24652087475149106</v>
      </c>
    </row>
    <row r="200" spans="1:15" x14ac:dyDescent="0.25">
      <c r="A200" t="s">
        <v>532</v>
      </c>
      <c r="B200" t="s">
        <v>533</v>
      </c>
      <c r="C200" t="s">
        <v>534</v>
      </c>
      <c r="D200">
        <v>3.63</v>
      </c>
      <c r="E200">
        <v>2</v>
      </c>
      <c r="F200">
        <v>7.45</v>
      </c>
      <c r="G200">
        <v>14.24</v>
      </c>
      <c r="H200">
        <v>74.88</v>
      </c>
      <c r="I200">
        <v>1.84</v>
      </c>
      <c r="J200">
        <v>0</v>
      </c>
      <c r="K200" t="s">
        <v>344</v>
      </c>
      <c r="L200">
        <v>503</v>
      </c>
      <c r="M200">
        <v>124</v>
      </c>
      <c r="N200" s="1">
        <f t="shared" si="6"/>
        <v>0.75347912524850891</v>
      </c>
      <c r="O200" s="1">
        <f t="shared" si="7"/>
        <v>0.24652087475149106</v>
      </c>
    </row>
    <row r="201" spans="1:15" x14ac:dyDescent="0.25">
      <c r="A201" t="s">
        <v>535</v>
      </c>
      <c r="B201" t="s">
        <v>536</v>
      </c>
      <c r="C201" t="s">
        <v>531</v>
      </c>
      <c r="D201">
        <v>3.63</v>
      </c>
      <c r="E201">
        <v>2.0099999999999998</v>
      </c>
      <c r="F201">
        <v>7.45</v>
      </c>
      <c r="G201">
        <v>12</v>
      </c>
      <c r="H201">
        <v>80</v>
      </c>
      <c r="I201">
        <v>2</v>
      </c>
      <c r="J201">
        <v>0</v>
      </c>
      <c r="K201" t="s">
        <v>344</v>
      </c>
      <c r="L201">
        <v>503</v>
      </c>
      <c r="M201">
        <v>124</v>
      </c>
      <c r="N201" s="1">
        <f t="shared" si="6"/>
        <v>0.75347912524850891</v>
      </c>
      <c r="O201" s="1">
        <f t="shared" si="7"/>
        <v>0.24652087475149106</v>
      </c>
    </row>
    <row r="202" spans="1:15" x14ac:dyDescent="0.25">
      <c r="A202" t="s">
        <v>537</v>
      </c>
      <c r="B202" t="s">
        <v>538</v>
      </c>
      <c r="C202" t="s">
        <v>539</v>
      </c>
      <c r="D202">
        <v>3.58</v>
      </c>
      <c r="E202">
        <v>2.56</v>
      </c>
      <c r="F202">
        <v>7.34</v>
      </c>
      <c r="G202">
        <v>7</v>
      </c>
      <c r="H202">
        <v>71</v>
      </c>
      <c r="I202">
        <v>1</v>
      </c>
      <c r="J202">
        <v>0</v>
      </c>
      <c r="K202" t="s">
        <v>344</v>
      </c>
      <c r="L202">
        <v>503</v>
      </c>
      <c r="M202">
        <v>127</v>
      </c>
      <c r="N202" s="1">
        <f t="shared" si="6"/>
        <v>0.74751491053677932</v>
      </c>
      <c r="O202" s="1">
        <f t="shared" si="7"/>
        <v>0.25248508946322068</v>
      </c>
    </row>
    <row r="203" spans="1:15" x14ac:dyDescent="0.25">
      <c r="A203" t="s">
        <v>540</v>
      </c>
      <c r="B203" t="s">
        <v>541</v>
      </c>
      <c r="C203" t="s">
        <v>542</v>
      </c>
      <c r="D203">
        <v>3.57</v>
      </c>
      <c r="E203">
        <v>2.2599999999999998</v>
      </c>
      <c r="F203">
        <v>7.33</v>
      </c>
      <c r="G203">
        <v>13.09</v>
      </c>
      <c r="H203">
        <v>75.86</v>
      </c>
      <c r="I203">
        <v>2.81</v>
      </c>
      <c r="J203">
        <v>7.28</v>
      </c>
      <c r="K203" t="s">
        <v>344</v>
      </c>
      <c r="L203">
        <v>503</v>
      </c>
      <c r="M203">
        <v>127</v>
      </c>
      <c r="N203" s="1">
        <f t="shared" si="6"/>
        <v>0.74751491053677932</v>
      </c>
      <c r="O203" s="1">
        <f t="shared" si="7"/>
        <v>0.25248508946322068</v>
      </c>
    </row>
    <row r="204" spans="1:15" x14ac:dyDescent="0.25">
      <c r="A204" t="s">
        <v>543</v>
      </c>
      <c r="B204" t="s">
        <v>544</v>
      </c>
      <c r="C204" t="s">
        <v>545</v>
      </c>
      <c r="D204">
        <v>3.54</v>
      </c>
      <c r="E204">
        <v>2.71</v>
      </c>
      <c r="F204">
        <v>7.26</v>
      </c>
      <c r="G204">
        <v>18.23</v>
      </c>
      <c r="H204">
        <v>72.09</v>
      </c>
      <c r="I204">
        <v>0.9</v>
      </c>
      <c r="J204">
        <v>0</v>
      </c>
      <c r="K204" t="s">
        <v>344</v>
      </c>
      <c r="L204">
        <v>503</v>
      </c>
      <c r="M204">
        <v>127</v>
      </c>
      <c r="N204" s="1">
        <f t="shared" si="6"/>
        <v>0.74751491053677932</v>
      </c>
      <c r="O204" s="1">
        <f t="shared" si="7"/>
        <v>0.25248508946322068</v>
      </c>
    </row>
    <row r="205" spans="1:15" x14ac:dyDescent="0.25">
      <c r="A205" t="s">
        <v>546</v>
      </c>
      <c r="B205" t="s">
        <v>547</v>
      </c>
      <c r="C205" t="s">
        <v>368</v>
      </c>
      <c r="D205">
        <v>3.54</v>
      </c>
      <c r="E205">
        <v>2.7</v>
      </c>
      <c r="F205">
        <v>7.26</v>
      </c>
      <c r="G205">
        <v>18.23</v>
      </c>
      <c r="H205">
        <v>72.09</v>
      </c>
      <c r="I205">
        <v>0.9</v>
      </c>
      <c r="J205">
        <v>0</v>
      </c>
      <c r="K205" t="s">
        <v>344</v>
      </c>
      <c r="L205">
        <v>503</v>
      </c>
      <c r="M205">
        <v>127</v>
      </c>
      <c r="N205" s="1">
        <f t="shared" si="6"/>
        <v>0.74751491053677932</v>
      </c>
      <c r="O205" s="1">
        <f t="shared" si="7"/>
        <v>0.25248508946322068</v>
      </c>
    </row>
    <row r="206" spans="1:15" x14ac:dyDescent="0.25">
      <c r="A206" t="s">
        <v>548</v>
      </c>
      <c r="B206" t="s">
        <v>549</v>
      </c>
      <c r="C206" t="s">
        <v>368</v>
      </c>
      <c r="D206">
        <v>3.54</v>
      </c>
      <c r="E206">
        <v>2.71</v>
      </c>
      <c r="F206">
        <v>7.26</v>
      </c>
      <c r="G206">
        <v>18.23</v>
      </c>
      <c r="H206">
        <v>72.09</v>
      </c>
      <c r="I206">
        <v>0.9</v>
      </c>
      <c r="J206">
        <v>0</v>
      </c>
      <c r="K206" t="s">
        <v>344</v>
      </c>
      <c r="L206">
        <v>503</v>
      </c>
      <c r="M206">
        <v>127</v>
      </c>
      <c r="N206" s="1">
        <f t="shared" si="6"/>
        <v>0.74751491053677932</v>
      </c>
      <c r="O206" s="1">
        <f t="shared" si="7"/>
        <v>0.25248508946322068</v>
      </c>
    </row>
    <row r="207" spans="1:15" x14ac:dyDescent="0.25">
      <c r="A207" t="s">
        <v>550</v>
      </c>
      <c r="B207" t="s">
        <v>551</v>
      </c>
      <c r="C207" t="s">
        <v>545</v>
      </c>
      <c r="D207">
        <v>3.54</v>
      </c>
      <c r="E207">
        <v>2.71</v>
      </c>
      <c r="F207">
        <v>7.26</v>
      </c>
      <c r="G207">
        <v>18.23</v>
      </c>
      <c r="H207">
        <v>72.09</v>
      </c>
      <c r="I207">
        <v>0.9</v>
      </c>
      <c r="J207">
        <v>0</v>
      </c>
      <c r="K207" t="s">
        <v>344</v>
      </c>
      <c r="L207">
        <v>503</v>
      </c>
      <c r="M207">
        <v>127</v>
      </c>
      <c r="N207" s="1">
        <f t="shared" si="6"/>
        <v>0.74751491053677932</v>
      </c>
      <c r="O207" s="1">
        <f t="shared" si="7"/>
        <v>0.25248508946322068</v>
      </c>
    </row>
    <row r="208" spans="1:15" x14ac:dyDescent="0.25">
      <c r="A208" t="s">
        <v>552</v>
      </c>
      <c r="B208" t="s">
        <v>553</v>
      </c>
      <c r="C208" t="s">
        <v>554</v>
      </c>
      <c r="D208">
        <v>3.5</v>
      </c>
      <c r="E208">
        <v>0</v>
      </c>
      <c r="F208">
        <v>7.18</v>
      </c>
      <c r="G208">
        <v>1.72</v>
      </c>
      <c r="H208">
        <v>79.2</v>
      </c>
      <c r="I208">
        <v>2.29</v>
      </c>
      <c r="J208">
        <v>0</v>
      </c>
      <c r="K208" t="s">
        <v>344</v>
      </c>
      <c r="L208">
        <v>503</v>
      </c>
      <c r="M208">
        <v>129</v>
      </c>
      <c r="N208" s="1">
        <f t="shared" si="6"/>
        <v>0.74353876739562619</v>
      </c>
      <c r="O208" s="1">
        <f t="shared" si="7"/>
        <v>0.25646123260437376</v>
      </c>
    </row>
    <row r="209" spans="1:15" x14ac:dyDescent="0.25">
      <c r="A209" t="s">
        <v>555</v>
      </c>
      <c r="B209" t="s">
        <v>556</v>
      </c>
      <c r="C209" t="s">
        <v>539</v>
      </c>
      <c r="D209">
        <v>3.45</v>
      </c>
      <c r="E209">
        <v>2.56</v>
      </c>
      <c r="F209">
        <v>7.08</v>
      </c>
      <c r="G209">
        <v>7</v>
      </c>
      <c r="H209">
        <v>71</v>
      </c>
      <c r="I209">
        <v>1</v>
      </c>
      <c r="J209">
        <v>0</v>
      </c>
      <c r="K209" t="s">
        <v>344</v>
      </c>
      <c r="L209">
        <v>503</v>
      </c>
      <c r="M209">
        <v>132</v>
      </c>
      <c r="N209" s="1">
        <f t="shared" si="6"/>
        <v>0.7375745526838966</v>
      </c>
      <c r="O209" s="1">
        <f t="shared" si="7"/>
        <v>0.2624254473161034</v>
      </c>
    </row>
    <row r="210" spans="1:15" x14ac:dyDescent="0.25">
      <c r="A210" t="s">
        <v>557</v>
      </c>
      <c r="B210" t="s">
        <v>558</v>
      </c>
      <c r="C210" t="s">
        <v>559</v>
      </c>
      <c r="D210">
        <v>3.38</v>
      </c>
      <c r="E210">
        <v>1.1200000000000001</v>
      </c>
      <c r="F210">
        <v>6.93</v>
      </c>
      <c r="G210">
        <v>0</v>
      </c>
      <c r="H210">
        <v>89.5</v>
      </c>
      <c r="I210">
        <v>1.39</v>
      </c>
      <c r="J210">
        <v>0</v>
      </c>
      <c r="K210" t="s">
        <v>344</v>
      </c>
      <c r="L210">
        <v>503</v>
      </c>
      <c r="M210">
        <v>135</v>
      </c>
      <c r="N210" s="1">
        <f t="shared" si="6"/>
        <v>0.73161033797216701</v>
      </c>
      <c r="O210" s="1">
        <f t="shared" si="7"/>
        <v>0.26838966202783299</v>
      </c>
    </row>
    <row r="211" spans="1:15" x14ac:dyDescent="0.25">
      <c r="A211" t="s">
        <v>560</v>
      </c>
      <c r="B211" t="s">
        <v>561</v>
      </c>
      <c r="C211" t="s">
        <v>562</v>
      </c>
      <c r="D211">
        <v>3.37</v>
      </c>
      <c r="E211">
        <v>3.42</v>
      </c>
      <c r="F211">
        <v>6.92</v>
      </c>
      <c r="G211">
        <v>13.5</v>
      </c>
      <c r="H211">
        <v>79.099999999999994</v>
      </c>
      <c r="I211">
        <v>2</v>
      </c>
      <c r="J211">
        <v>0</v>
      </c>
      <c r="K211" t="s">
        <v>344</v>
      </c>
      <c r="L211">
        <v>503</v>
      </c>
      <c r="M211">
        <v>135</v>
      </c>
      <c r="N211" s="1">
        <f t="shared" si="6"/>
        <v>0.73161033797216701</v>
      </c>
      <c r="O211" s="1">
        <f t="shared" si="7"/>
        <v>0.26838966202783299</v>
      </c>
    </row>
    <row r="212" spans="1:15" x14ac:dyDescent="0.25">
      <c r="A212" t="s">
        <v>563</v>
      </c>
      <c r="B212" t="s">
        <v>564</v>
      </c>
      <c r="C212" t="s">
        <v>427</v>
      </c>
      <c r="D212">
        <v>3.37</v>
      </c>
      <c r="E212">
        <v>1.43</v>
      </c>
      <c r="F212">
        <v>6.92</v>
      </c>
      <c r="G212">
        <v>9.27</v>
      </c>
      <c r="H212">
        <v>80.510000000000005</v>
      </c>
      <c r="I212">
        <v>1.07</v>
      </c>
      <c r="J212">
        <v>0</v>
      </c>
      <c r="K212" t="s">
        <v>344</v>
      </c>
      <c r="L212">
        <v>503</v>
      </c>
      <c r="M212">
        <v>135</v>
      </c>
      <c r="N212" s="1">
        <f t="shared" si="6"/>
        <v>0.73161033797216701</v>
      </c>
      <c r="O212" s="1">
        <f t="shared" si="7"/>
        <v>0.26838966202783299</v>
      </c>
    </row>
    <row r="213" spans="1:15" x14ac:dyDescent="0.25">
      <c r="A213" t="s">
        <v>565</v>
      </c>
      <c r="B213" t="s">
        <v>566</v>
      </c>
      <c r="C213" t="s">
        <v>567</v>
      </c>
      <c r="D213">
        <v>3.3</v>
      </c>
      <c r="E213">
        <v>2.13</v>
      </c>
      <c r="F213">
        <v>6.76</v>
      </c>
      <c r="G213">
        <v>14.53</v>
      </c>
      <c r="H213">
        <v>78.790000000000006</v>
      </c>
      <c r="I213">
        <v>1.82</v>
      </c>
      <c r="J213">
        <v>5.41</v>
      </c>
      <c r="K213" t="s">
        <v>344</v>
      </c>
      <c r="L213">
        <v>503</v>
      </c>
      <c r="M213">
        <v>138</v>
      </c>
      <c r="N213" s="1">
        <f t="shared" si="6"/>
        <v>0.72564612326043743</v>
      </c>
      <c r="O213" s="1">
        <f t="shared" si="7"/>
        <v>0.27435387673956263</v>
      </c>
    </row>
    <row r="214" spans="1:15" x14ac:dyDescent="0.25">
      <c r="A214" t="s">
        <v>568</v>
      </c>
      <c r="B214" t="s">
        <v>569</v>
      </c>
      <c r="C214" t="s">
        <v>570</v>
      </c>
      <c r="D214">
        <v>3.29</v>
      </c>
      <c r="E214">
        <v>2.09</v>
      </c>
      <c r="F214">
        <v>6.75</v>
      </c>
      <c r="G214">
        <v>5</v>
      </c>
      <c r="H214">
        <v>86</v>
      </c>
      <c r="I214">
        <v>2</v>
      </c>
      <c r="J214">
        <v>0</v>
      </c>
      <c r="K214" t="s">
        <v>344</v>
      </c>
      <c r="L214">
        <v>503</v>
      </c>
      <c r="M214">
        <v>138</v>
      </c>
      <c r="N214" s="1">
        <f t="shared" si="6"/>
        <v>0.72564612326043743</v>
      </c>
      <c r="O214" s="1">
        <f t="shared" si="7"/>
        <v>0.27435387673956263</v>
      </c>
    </row>
    <row r="215" spans="1:15" x14ac:dyDescent="0.25">
      <c r="A215" t="s">
        <v>571</v>
      </c>
      <c r="B215" t="s">
        <v>572</v>
      </c>
      <c r="C215" t="s">
        <v>445</v>
      </c>
      <c r="D215">
        <v>3.28</v>
      </c>
      <c r="E215">
        <v>1.1200000000000001</v>
      </c>
      <c r="F215">
        <v>6.72</v>
      </c>
      <c r="G215">
        <v>7.86</v>
      </c>
      <c r="H215">
        <v>87.05</v>
      </c>
      <c r="I215">
        <v>0.93</v>
      </c>
      <c r="J215">
        <v>4.5999999999999996</v>
      </c>
      <c r="K215" t="s">
        <v>344</v>
      </c>
      <c r="L215">
        <v>503</v>
      </c>
      <c r="M215">
        <v>139</v>
      </c>
      <c r="N215" s="1">
        <f t="shared" si="6"/>
        <v>0.72365805168986086</v>
      </c>
      <c r="O215" s="1">
        <f t="shared" si="7"/>
        <v>0.27634194831013914</v>
      </c>
    </row>
    <row r="216" spans="1:15" x14ac:dyDescent="0.25">
      <c r="A216" t="s">
        <v>573</v>
      </c>
      <c r="B216" t="s">
        <v>574</v>
      </c>
      <c r="C216" t="s">
        <v>427</v>
      </c>
      <c r="D216">
        <v>3.25</v>
      </c>
      <c r="E216">
        <v>1.43</v>
      </c>
      <c r="F216">
        <v>6.67</v>
      </c>
      <c r="G216">
        <v>9.49</v>
      </c>
      <c r="H216">
        <v>68.14</v>
      </c>
      <c r="I216">
        <v>1</v>
      </c>
      <c r="J216">
        <v>0</v>
      </c>
      <c r="K216" t="s">
        <v>344</v>
      </c>
      <c r="L216">
        <v>503</v>
      </c>
      <c r="M216">
        <v>141</v>
      </c>
      <c r="N216" s="1">
        <f t="shared" si="6"/>
        <v>0.71968190854870773</v>
      </c>
      <c r="O216" s="1">
        <f t="shared" si="7"/>
        <v>0.28031809145129227</v>
      </c>
    </row>
    <row r="217" spans="1:15" x14ac:dyDescent="0.25">
      <c r="A217" t="s">
        <v>575</v>
      </c>
      <c r="B217" t="s">
        <v>576</v>
      </c>
      <c r="C217" t="s">
        <v>427</v>
      </c>
      <c r="D217">
        <v>3.25</v>
      </c>
      <c r="E217">
        <v>1.43</v>
      </c>
      <c r="F217">
        <v>6.67</v>
      </c>
      <c r="G217">
        <v>9.49</v>
      </c>
      <c r="H217">
        <v>68.14</v>
      </c>
      <c r="I217">
        <v>1</v>
      </c>
      <c r="J217">
        <v>0</v>
      </c>
      <c r="K217" t="s">
        <v>344</v>
      </c>
      <c r="L217">
        <v>503</v>
      </c>
      <c r="M217">
        <v>141</v>
      </c>
      <c r="N217" s="1">
        <f t="shared" si="6"/>
        <v>0.71968190854870773</v>
      </c>
      <c r="O217" s="1">
        <f t="shared" si="7"/>
        <v>0.28031809145129227</v>
      </c>
    </row>
    <row r="218" spans="1:15" x14ac:dyDescent="0.25">
      <c r="A218" t="s">
        <v>577</v>
      </c>
      <c r="B218" t="s">
        <v>578</v>
      </c>
      <c r="C218" t="s">
        <v>579</v>
      </c>
      <c r="D218">
        <v>3.2</v>
      </c>
      <c r="E218">
        <v>2.4</v>
      </c>
      <c r="F218">
        <v>6.56</v>
      </c>
      <c r="G218">
        <v>20</v>
      </c>
      <c r="H218">
        <v>70</v>
      </c>
      <c r="I218">
        <v>10</v>
      </c>
      <c r="J218">
        <v>0</v>
      </c>
      <c r="K218" t="s">
        <v>344</v>
      </c>
      <c r="L218">
        <v>503</v>
      </c>
      <c r="M218">
        <v>146</v>
      </c>
      <c r="N218" s="1">
        <f t="shared" si="6"/>
        <v>0.70974155069582512</v>
      </c>
      <c r="O218" s="1">
        <f t="shared" si="7"/>
        <v>0.29025844930417494</v>
      </c>
    </row>
    <row r="219" spans="1:15" x14ac:dyDescent="0.25">
      <c r="A219" t="s">
        <v>580</v>
      </c>
      <c r="B219" t="s">
        <v>581</v>
      </c>
      <c r="C219" t="s">
        <v>445</v>
      </c>
      <c r="D219">
        <v>3.19</v>
      </c>
      <c r="E219">
        <v>1.1200000000000001</v>
      </c>
      <c r="F219">
        <v>6.54</v>
      </c>
      <c r="G219">
        <v>7.85</v>
      </c>
      <c r="H219">
        <v>86.53</v>
      </c>
      <c r="I219">
        <v>0.93</v>
      </c>
      <c r="J219">
        <v>4.5199999999999996</v>
      </c>
      <c r="K219" t="s">
        <v>344</v>
      </c>
      <c r="L219">
        <v>503</v>
      </c>
      <c r="M219">
        <v>147</v>
      </c>
      <c r="N219" s="1">
        <f t="shared" si="6"/>
        <v>0.70775347912524844</v>
      </c>
      <c r="O219" s="1">
        <f t="shared" si="7"/>
        <v>0.2922465208747515</v>
      </c>
    </row>
    <row r="220" spans="1:15" x14ac:dyDescent="0.25">
      <c r="A220" t="s">
        <v>582</v>
      </c>
      <c r="B220" t="s">
        <v>583</v>
      </c>
      <c r="C220" t="s">
        <v>584</v>
      </c>
      <c r="D220">
        <v>3.15</v>
      </c>
      <c r="E220">
        <v>3.48</v>
      </c>
      <c r="F220">
        <v>6.45</v>
      </c>
      <c r="G220">
        <v>15</v>
      </c>
      <c r="H220">
        <v>67</v>
      </c>
      <c r="I220">
        <v>6</v>
      </c>
      <c r="J220">
        <v>2.5</v>
      </c>
      <c r="K220" t="s">
        <v>344</v>
      </c>
      <c r="L220">
        <v>503</v>
      </c>
      <c r="M220">
        <v>149</v>
      </c>
      <c r="N220" s="1">
        <f t="shared" si="6"/>
        <v>0.70377733598409542</v>
      </c>
      <c r="O220" s="1">
        <f t="shared" si="7"/>
        <v>0.29622266401590458</v>
      </c>
    </row>
    <row r="221" spans="1:15" x14ac:dyDescent="0.25">
      <c r="A221" t="s">
        <v>585</v>
      </c>
      <c r="B221" t="s">
        <v>586</v>
      </c>
      <c r="D221">
        <v>3.1</v>
      </c>
      <c r="E221">
        <v>0</v>
      </c>
      <c r="F221">
        <v>6.35</v>
      </c>
      <c r="G221">
        <v>9</v>
      </c>
      <c r="H221">
        <v>84.5</v>
      </c>
      <c r="I221">
        <v>0.5</v>
      </c>
      <c r="J221">
        <v>0</v>
      </c>
      <c r="K221" t="s">
        <v>344</v>
      </c>
      <c r="L221">
        <v>503</v>
      </c>
      <c r="M221">
        <v>149</v>
      </c>
      <c r="N221" s="1">
        <f t="shared" si="6"/>
        <v>0.70377733598409542</v>
      </c>
      <c r="O221" s="1">
        <f t="shared" si="7"/>
        <v>0.29622266401590458</v>
      </c>
    </row>
    <row r="222" spans="1:15" x14ac:dyDescent="0.25">
      <c r="A222" t="s">
        <v>587</v>
      </c>
      <c r="B222" t="s">
        <v>588</v>
      </c>
      <c r="D222">
        <v>3.1</v>
      </c>
      <c r="E222">
        <v>0</v>
      </c>
      <c r="F222">
        <v>6.35</v>
      </c>
      <c r="G222">
        <v>9</v>
      </c>
      <c r="H222">
        <v>84.5</v>
      </c>
      <c r="I222">
        <v>0.5</v>
      </c>
      <c r="J222">
        <v>0</v>
      </c>
      <c r="K222" t="s">
        <v>344</v>
      </c>
      <c r="L222">
        <v>503</v>
      </c>
      <c r="M222">
        <v>149</v>
      </c>
      <c r="N222" s="1">
        <f t="shared" si="6"/>
        <v>0.70377733598409542</v>
      </c>
      <c r="O222" s="1">
        <f t="shared" si="7"/>
        <v>0.29622266401590458</v>
      </c>
    </row>
    <row r="223" spans="1:15" x14ac:dyDescent="0.25">
      <c r="A223" t="s">
        <v>589</v>
      </c>
      <c r="B223" t="s">
        <v>590</v>
      </c>
      <c r="D223">
        <v>3.1</v>
      </c>
      <c r="E223">
        <v>0</v>
      </c>
      <c r="F223">
        <v>6.35</v>
      </c>
      <c r="G223">
        <v>9</v>
      </c>
      <c r="H223">
        <v>84.5</v>
      </c>
      <c r="I223">
        <v>0.5</v>
      </c>
      <c r="J223">
        <v>0</v>
      </c>
      <c r="K223" t="s">
        <v>344</v>
      </c>
      <c r="L223">
        <v>503</v>
      </c>
      <c r="M223">
        <v>149</v>
      </c>
      <c r="N223" s="1">
        <f t="shared" si="6"/>
        <v>0.70377733598409542</v>
      </c>
      <c r="O223" s="1">
        <f t="shared" si="7"/>
        <v>0.29622266401590458</v>
      </c>
    </row>
    <row r="224" spans="1:15" x14ac:dyDescent="0.25">
      <c r="A224" t="s">
        <v>591</v>
      </c>
      <c r="B224" t="s">
        <v>592</v>
      </c>
      <c r="D224">
        <v>3.1</v>
      </c>
      <c r="E224">
        <v>0</v>
      </c>
      <c r="F224">
        <v>6.35</v>
      </c>
      <c r="G224">
        <v>9</v>
      </c>
      <c r="H224">
        <v>84.5</v>
      </c>
      <c r="I224">
        <v>0.5</v>
      </c>
      <c r="J224">
        <v>0</v>
      </c>
      <c r="K224" t="s">
        <v>344</v>
      </c>
      <c r="L224">
        <v>503</v>
      </c>
      <c r="M224">
        <v>149</v>
      </c>
      <c r="N224" s="1">
        <f t="shared" si="6"/>
        <v>0.70377733598409542</v>
      </c>
      <c r="O224" s="1">
        <f t="shared" si="7"/>
        <v>0.29622266401590458</v>
      </c>
    </row>
    <row r="225" spans="1:15" x14ac:dyDescent="0.25">
      <c r="A225" t="s">
        <v>593</v>
      </c>
      <c r="B225" t="s">
        <v>594</v>
      </c>
      <c r="D225">
        <v>3.1</v>
      </c>
      <c r="E225">
        <v>0</v>
      </c>
      <c r="F225">
        <v>6.35</v>
      </c>
      <c r="G225">
        <v>9</v>
      </c>
      <c r="H225">
        <v>84.5</v>
      </c>
      <c r="I225">
        <v>0.5</v>
      </c>
      <c r="J225">
        <v>0</v>
      </c>
      <c r="K225" t="s">
        <v>344</v>
      </c>
      <c r="L225">
        <v>503</v>
      </c>
      <c r="M225">
        <v>149</v>
      </c>
      <c r="N225" s="1">
        <f t="shared" si="6"/>
        <v>0.70377733598409542</v>
      </c>
      <c r="O225" s="1">
        <f t="shared" si="7"/>
        <v>0.29622266401590458</v>
      </c>
    </row>
    <row r="226" spans="1:15" x14ac:dyDescent="0.25">
      <c r="A226" t="s">
        <v>595</v>
      </c>
      <c r="B226" t="s">
        <v>596</v>
      </c>
      <c r="D226">
        <v>3.02</v>
      </c>
      <c r="E226">
        <v>0</v>
      </c>
      <c r="F226">
        <v>6.19</v>
      </c>
      <c r="G226">
        <v>9</v>
      </c>
      <c r="H226">
        <v>84.5</v>
      </c>
      <c r="I226">
        <v>0.5</v>
      </c>
      <c r="J226">
        <v>0</v>
      </c>
      <c r="K226" t="s">
        <v>344</v>
      </c>
      <c r="L226">
        <v>503</v>
      </c>
      <c r="M226">
        <v>154</v>
      </c>
      <c r="N226" s="1">
        <f t="shared" si="6"/>
        <v>0.6938369781312127</v>
      </c>
      <c r="O226" s="1">
        <f t="shared" si="7"/>
        <v>0.3061630218687873</v>
      </c>
    </row>
    <row r="227" spans="1:15" x14ac:dyDescent="0.25">
      <c r="A227" t="s">
        <v>597</v>
      </c>
      <c r="B227" t="s">
        <v>598</v>
      </c>
      <c r="D227">
        <v>3.02</v>
      </c>
      <c r="E227">
        <v>0</v>
      </c>
      <c r="F227">
        <v>6.19</v>
      </c>
      <c r="G227">
        <v>9</v>
      </c>
      <c r="H227">
        <v>84.5</v>
      </c>
      <c r="I227">
        <v>0.5</v>
      </c>
      <c r="J227">
        <v>0</v>
      </c>
      <c r="K227" t="s">
        <v>344</v>
      </c>
      <c r="L227">
        <v>503</v>
      </c>
      <c r="M227">
        <v>154</v>
      </c>
      <c r="N227" s="1">
        <f t="shared" si="6"/>
        <v>0.6938369781312127</v>
      </c>
      <c r="O227" s="1">
        <f t="shared" si="7"/>
        <v>0.3061630218687873</v>
      </c>
    </row>
    <row r="228" spans="1:15" x14ac:dyDescent="0.25">
      <c r="A228" t="s">
        <v>599</v>
      </c>
      <c r="B228" t="s">
        <v>600</v>
      </c>
      <c r="C228" t="s">
        <v>601</v>
      </c>
      <c r="D228">
        <v>2.97</v>
      </c>
      <c r="E228">
        <v>0</v>
      </c>
      <c r="F228">
        <v>6.07</v>
      </c>
      <c r="G228">
        <v>17.690000000000001</v>
      </c>
      <c r="H228">
        <v>66.569999999999993</v>
      </c>
      <c r="I228">
        <v>0.92</v>
      </c>
      <c r="J228">
        <v>0</v>
      </c>
      <c r="K228" t="s">
        <v>344</v>
      </c>
      <c r="L228">
        <v>503</v>
      </c>
      <c r="M228">
        <v>155</v>
      </c>
      <c r="N228" s="1">
        <f t="shared" si="6"/>
        <v>0.69184890656063613</v>
      </c>
      <c r="O228" s="1">
        <f t="shared" si="7"/>
        <v>0.30815109343936381</v>
      </c>
    </row>
    <row r="229" spans="1:15" x14ac:dyDescent="0.25">
      <c r="A229" t="s">
        <v>602</v>
      </c>
      <c r="B229" t="s">
        <v>603</v>
      </c>
      <c r="C229" t="s">
        <v>601</v>
      </c>
      <c r="D229">
        <v>2.97</v>
      </c>
      <c r="E229">
        <v>0</v>
      </c>
      <c r="F229">
        <v>6.07</v>
      </c>
      <c r="G229">
        <v>17.690000000000001</v>
      </c>
      <c r="H229">
        <v>66.569999999999993</v>
      </c>
      <c r="I229">
        <v>0.92</v>
      </c>
      <c r="J229">
        <v>0</v>
      </c>
      <c r="K229" t="s">
        <v>344</v>
      </c>
      <c r="L229">
        <v>503</v>
      </c>
      <c r="M229">
        <v>155</v>
      </c>
      <c r="N229" s="1">
        <f t="shared" si="6"/>
        <v>0.69184890656063613</v>
      </c>
      <c r="O229" s="1">
        <f t="shared" si="7"/>
        <v>0.30815109343936381</v>
      </c>
    </row>
    <row r="230" spans="1:15" x14ac:dyDescent="0.25">
      <c r="A230" t="s">
        <v>604</v>
      </c>
      <c r="B230" t="s">
        <v>605</v>
      </c>
      <c r="C230" t="s">
        <v>606</v>
      </c>
      <c r="D230">
        <v>2.95</v>
      </c>
      <c r="E230">
        <v>2.04</v>
      </c>
      <c r="F230">
        <v>6.05</v>
      </c>
      <c r="G230">
        <v>16.5</v>
      </c>
      <c r="H230">
        <v>77.5</v>
      </c>
      <c r="I230">
        <v>2</v>
      </c>
      <c r="J230">
        <v>3</v>
      </c>
      <c r="K230" t="s">
        <v>344</v>
      </c>
      <c r="L230">
        <v>503</v>
      </c>
      <c r="M230">
        <v>155</v>
      </c>
      <c r="N230" s="1">
        <f t="shared" si="6"/>
        <v>0.69184890656063613</v>
      </c>
      <c r="O230" s="1">
        <f t="shared" si="7"/>
        <v>0.30815109343936381</v>
      </c>
    </row>
    <row r="231" spans="1:15" x14ac:dyDescent="0.25">
      <c r="A231" t="s">
        <v>607</v>
      </c>
      <c r="B231" t="s">
        <v>608</v>
      </c>
      <c r="C231" t="s">
        <v>606</v>
      </c>
      <c r="D231">
        <v>2.95</v>
      </c>
      <c r="E231">
        <v>2.04</v>
      </c>
      <c r="F231">
        <v>6.05</v>
      </c>
      <c r="G231">
        <v>16.5</v>
      </c>
      <c r="H231">
        <v>77.5</v>
      </c>
      <c r="I231">
        <v>2</v>
      </c>
      <c r="J231">
        <v>3</v>
      </c>
      <c r="K231" t="s">
        <v>344</v>
      </c>
      <c r="L231">
        <v>503</v>
      </c>
      <c r="M231">
        <v>155</v>
      </c>
      <c r="N231" s="1">
        <f t="shared" si="6"/>
        <v>0.69184890656063613</v>
      </c>
      <c r="O231" s="1">
        <f t="shared" si="7"/>
        <v>0.30815109343936381</v>
      </c>
    </row>
    <row r="232" spans="1:15" x14ac:dyDescent="0.25">
      <c r="A232" t="s">
        <v>609</v>
      </c>
      <c r="B232" t="s">
        <v>610</v>
      </c>
      <c r="C232" t="s">
        <v>606</v>
      </c>
      <c r="D232">
        <v>2.95</v>
      </c>
      <c r="E232">
        <v>2.04</v>
      </c>
      <c r="F232">
        <v>6.05</v>
      </c>
      <c r="G232">
        <v>17.21</v>
      </c>
      <c r="H232">
        <v>76.03</v>
      </c>
      <c r="I232">
        <v>1.94</v>
      </c>
      <c r="J232">
        <v>2.2000000000000002</v>
      </c>
      <c r="K232" t="s">
        <v>344</v>
      </c>
      <c r="L232">
        <v>503</v>
      </c>
      <c r="M232">
        <v>155</v>
      </c>
      <c r="N232" s="1">
        <f t="shared" si="6"/>
        <v>0.69184890656063613</v>
      </c>
      <c r="O232" s="1">
        <f t="shared" si="7"/>
        <v>0.30815109343936381</v>
      </c>
    </row>
    <row r="233" spans="1:15" x14ac:dyDescent="0.25">
      <c r="A233" t="s">
        <v>611</v>
      </c>
      <c r="B233" t="s">
        <v>612</v>
      </c>
      <c r="C233" t="s">
        <v>606</v>
      </c>
      <c r="D233">
        <v>2.95</v>
      </c>
      <c r="E233">
        <v>2.0299999999999998</v>
      </c>
      <c r="F233">
        <v>6.05</v>
      </c>
      <c r="G233">
        <v>16.5</v>
      </c>
      <c r="H233">
        <v>77.5</v>
      </c>
      <c r="I233">
        <v>2</v>
      </c>
      <c r="J233">
        <v>3</v>
      </c>
      <c r="K233" t="s">
        <v>344</v>
      </c>
      <c r="L233">
        <v>503</v>
      </c>
      <c r="M233">
        <v>155</v>
      </c>
      <c r="N233" s="1">
        <f t="shared" si="6"/>
        <v>0.69184890656063613</v>
      </c>
      <c r="O233" s="1">
        <f t="shared" si="7"/>
        <v>0.30815109343936381</v>
      </c>
    </row>
    <row r="234" spans="1:15" x14ac:dyDescent="0.25">
      <c r="A234" t="s">
        <v>613</v>
      </c>
      <c r="B234" t="s">
        <v>614</v>
      </c>
      <c r="C234" t="s">
        <v>606</v>
      </c>
      <c r="D234">
        <v>2.95</v>
      </c>
      <c r="E234">
        <v>2.04</v>
      </c>
      <c r="F234">
        <v>6.05</v>
      </c>
      <c r="G234">
        <v>16.5</v>
      </c>
      <c r="H234">
        <v>77.5</v>
      </c>
      <c r="I234">
        <v>2</v>
      </c>
      <c r="J234">
        <v>3</v>
      </c>
      <c r="K234" t="s">
        <v>344</v>
      </c>
      <c r="L234">
        <v>503</v>
      </c>
      <c r="M234">
        <v>155</v>
      </c>
      <c r="N234" s="1">
        <f t="shared" si="6"/>
        <v>0.69184890656063613</v>
      </c>
      <c r="O234" s="1">
        <f t="shared" si="7"/>
        <v>0.30815109343936381</v>
      </c>
    </row>
    <row r="235" spans="1:15" x14ac:dyDescent="0.25">
      <c r="A235" t="s">
        <v>615</v>
      </c>
      <c r="B235" t="s">
        <v>616</v>
      </c>
      <c r="C235" t="s">
        <v>606</v>
      </c>
      <c r="D235">
        <v>2.95</v>
      </c>
      <c r="E235">
        <v>2.04</v>
      </c>
      <c r="F235">
        <v>6.05</v>
      </c>
      <c r="G235">
        <v>17.21</v>
      </c>
      <c r="H235">
        <v>76.03</v>
      </c>
      <c r="I235">
        <v>1.94</v>
      </c>
      <c r="J235">
        <v>2.2000000000000002</v>
      </c>
      <c r="K235" t="s">
        <v>344</v>
      </c>
      <c r="L235">
        <v>503</v>
      </c>
      <c r="M235">
        <v>155</v>
      </c>
      <c r="N235" s="1">
        <f t="shared" si="6"/>
        <v>0.69184890656063613</v>
      </c>
      <c r="O235" s="1">
        <f t="shared" si="7"/>
        <v>0.30815109343936381</v>
      </c>
    </row>
    <row r="236" spans="1:15" x14ac:dyDescent="0.25">
      <c r="A236" t="s">
        <v>617</v>
      </c>
      <c r="B236" t="s">
        <v>618</v>
      </c>
      <c r="C236" t="s">
        <v>606</v>
      </c>
      <c r="D236">
        <v>2.95</v>
      </c>
      <c r="E236">
        <v>2.0299999999999998</v>
      </c>
      <c r="F236">
        <v>6.05</v>
      </c>
      <c r="G236">
        <v>16.5</v>
      </c>
      <c r="H236">
        <v>77.5</v>
      </c>
      <c r="I236">
        <v>2</v>
      </c>
      <c r="J236">
        <v>3</v>
      </c>
      <c r="K236" t="s">
        <v>344</v>
      </c>
      <c r="L236">
        <v>503</v>
      </c>
      <c r="M236">
        <v>155</v>
      </c>
      <c r="N236" s="1">
        <f t="shared" si="6"/>
        <v>0.69184890656063613</v>
      </c>
      <c r="O236" s="1">
        <f t="shared" si="7"/>
        <v>0.30815109343936381</v>
      </c>
    </row>
    <row r="237" spans="1:15" x14ac:dyDescent="0.25">
      <c r="A237" t="s">
        <v>619</v>
      </c>
      <c r="B237" t="s">
        <v>620</v>
      </c>
      <c r="C237" t="s">
        <v>621</v>
      </c>
      <c r="D237">
        <v>2.93</v>
      </c>
      <c r="E237">
        <v>2.0499999999999998</v>
      </c>
      <c r="F237">
        <v>6</v>
      </c>
      <c r="G237">
        <v>7.37</v>
      </c>
      <c r="H237">
        <v>85.03</v>
      </c>
      <c r="I237">
        <v>2.4</v>
      </c>
      <c r="J237">
        <v>0.66</v>
      </c>
      <c r="K237" t="s">
        <v>344</v>
      </c>
      <c r="L237">
        <v>503</v>
      </c>
      <c r="M237">
        <v>155</v>
      </c>
      <c r="N237" s="1">
        <f t="shared" si="6"/>
        <v>0.69184890656063613</v>
      </c>
      <c r="O237" s="1">
        <f t="shared" si="7"/>
        <v>0.30815109343936381</v>
      </c>
    </row>
    <row r="238" spans="1:15" x14ac:dyDescent="0.25">
      <c r="A238" t="s">
        <v>622</v>
      </c>
      <c r="B238" t="s">
        <v>623</v>
      </c>
      <c r="C238" t="s">
        <v>343</v>
      </c>
      <c r="D238">
        <v>2.9</v>
      </c>
      <c r="E238">
        <v>0</v>
      </c>
      <c r="F238">
        <v>5.93</v>
      </c>
      <c r="G238">
        <v>14.98</v>
      </c>
      <c r="H238">
        <v>81.010000000000005</v>
      </c>
      <c r="I238">
        <v>1.32</v>
      </c>
      <c r="J238">
        <v>0</v>
      </c>
      <c r="K238" t="s">
        <v>344</v>
      </c>
      <c r="L238">
        <v>503</v>
      </c>
      <c r="M238">
        <v>157</v>
      </c>
      <c r="N238" s="1">
        <f t="shared" si="6"/>
        <v>0.68787276341948311</v>
      </c>
      <c r="O238" s="1">
        <f t="shared" si="7"/>
        <v>0.31212723658051689</v>
      </c>
    </row>
    <row r="239" spans="1:15" x14ac:dyDescent="0.25">
      <c r="A239" t="s">
        <v>624</v>
      </c>
      <c r="B239" t="s">
        <v>625</v>
      </c>
      <c r="C239" t="s">
        <v>626</v>
      </c>
      <c r="D239">
        <v>2.9</v>
      </c>
      <c r="E239">
        <v>2.06</v>
      </c>
      <c r="F239">
        <v>5.94</v>
      </c>
      <c r="G239">
        <v>16.34</v>
      </c>
      <c r="H239">
        <v>76.11</v>
      </c>
      <c r="I239">
        <v>3.69</v>
      </c>
      <c r="J239">
        <v>0</v>
      </c>
      <c r="K239" t="s">
        <v>344</v>
      </c>
      <c r="L239">
        <v>503</v>
      </c>
      <c r="M239">
        <v>157</v>
      </c>
      <c r="N239" s="1">
        <f t="shared" si="6"/>
        <v>0.68787276341948311</v>
      </c>
      <c r="O239" s="1">
        <f t="shared" si="7"/>
        <v>0.31212723658051689</v>
      </c>
    </row>
    <row r="240" spans="1:15" x14ac:dyDescent="0.25">
      <c r="A240" t="s">
        <v>627</v>
      </c>
      <c r="B240" t="s">
        <v>628</v>
      </c>
      <c r="C240" t="s">
        <v>626</v>
      </c>
      <c r="D240">
        <v>2.89</v>
      </c>
      <c r="E240">
        <v>2.0699999999999998</v>
      </c>
      <c r="F240">
        <v>5.92</v>
      </c>
      <c r="G240">
        <v>16.62</v>
      </c>
      <c r="H240">
        <v>75.739999999999995</v>
      </c>
      <c r="I240">
        <v>3.64</v>
      </c>
      <c r="J240">
        <v>0</v>
      </c>
      <c r="K240" t="s">
        <v>344</v>
      </c>
      <c r="L240">
        <v>503</v>
      </c>
      <c r="M240">
        <v>157</v>
      </c>
      <c r="N240" s="1">
        <f t="shared" si="6"/>
        <v>0.68787276341948311</v>
      </c>
      <c r="O240" s="1">
        <f t="shared" si="7"/>
        <v>0.31212723658051689</v>
      </c>
    </row>
    <row r="241" spans="1:15" x14ac:dyDescent="0.25">
      <c r="A241" t="s">
        <v>629</v>
      </c>
      <c r="B241" t="s">
        <v>630</v>
      </c>
      <c r="C241" t="s">
        <v>448</v>
      </c>
      <c r="D241">
        <v>2.89</v>
      </c>
      <c r="E241">
        <v>1.36</v>
      </c>
      <c r="F241">
        <v>5.91</v>
      </c>
      <c r="G241">
        <v>16.62</v>
      </c>
      <c r="H241">
        <v>75.88</v>
      </c>
      <c r="I241">
        <v>3.6</v>
      </c>
      <c r="J241">
        <v>0</v>
      </c>
      <c r="K241" t="s">
        <v>344</v>
      </c>
      <c r="L241">
        <v>503</v>
      </c>
      <c r="M241">
        <v>158</v>
      </c>
      <c r="N241" s="1">
        <f t="shared" si="6"/>
        <v>0.68588469184890655</v>
      </c>
      <c r="O241" s="1">
        <f t="shared" si="7"/>
        <v>0.31411530815109345</v>
      </c>
    </row>
    <row r="242" spans="1:15" x14ac:dyDescent="0.25">
      <c r="A242" t="s">
        <v>631</v>
      </c>
      <c r="B242" t="s">
        <v>632</v>
      </c>
      <c r="C242" t="s">
        <v>626</v>
      </c>
      <c r="D242">
        <v>2.89</v>
      </c>
      <c r="E242">
        <v>2.06</v>
      </c>
      <c r="F242">
        <v>5.91</v>
      </c>
      <c r="G242">
        <v>16.46</v>
      </c>
      <c r="H242">
        <v>75.95</v>
      </c>
      <c r="I242">
        <v>3.65</v>
      </c>
      <c r="J242">
        <v>0</v>
      </c>
      <c r="K242" t="s">
        <v>344</v>
      </c>
      <c r="L242">
        <v>503</v>
      </c>
      <c r="M242">
        <v>158</v>
      </c>
      <c r="N242" s="1">
        <f t="shared" si="6"/>
        <v>0.68588469184890655</v>
      </c>
      <c r="O242" s="1">
        <f t="shared" si="7"/>
        <v>0.31411530815109345</v>
      </c>
    </row>
    <row r="243" spans="1:15" x14ac:dyDescent="0.25">
      <c r="A243" t="s">
        <v>633</v>
      </c>
      <c r="B243" t="s">
        <v>634</v>
      </c>
      <c r="C243" t="s">
        <v>626</v>
      </c>
      <c r="D243">
        <v>2.88</v>
      </c>
      <c r="E243">
        <v>2.06</v>
      </c>
      <c r="F243">
        <v>5.9</v>
      </c>
      <c r="G243">
        <v>16.39</v>
      </c>
      <c r="H243">
        <v>76.08</v>
      </c>
      <c r="I243">
        <v>3.67</v>
      </c>
      <c r="J243">
        <v>0</v>
      </c>
      <c r="K243" t="s">
        <v>344</v>
      </c>
      <c r="L243">
        <v>503</v>
      </c>
      <c r="M243">
        <v>158</v>
      </c>
      <c r="N243" s="1">
        <f t="shared" si="6"/>
        <v>0.68588469184890655</v>
      </c>
      <c r="O243" s="1">
        <f t="shared" si="7"/>
        <v>0.31411530815109345</v>
      </c>
    </row>
    <row r="244" spans="1:15" x14ac:dyDescent="0.25">
      <c r="A244" t="s">
        <v>635</v>
      </c>
      <c r="B244" t="s">
        <v>636</v>
      </c>
      <c r="D244">
        <v>2.87</v>
      </c>
      <c r="E244">
        <v>0</v>
      </c>
      <c r="F244">
        <v>5.86</v>
      </c>
      <c r="G244">
        <v>16.940000000000001</v>
      </c>
      <c r="H244">
        <v>75.33</v>
      </c>
      <c r="I244">
        <v>3.6</v>
      </c>
      <c r="J244">
        <v>0</v>
      </c>
      <c r="K244" t="s">
        <v>344</v>
      </c>
      <c r="L244">
        <v>503</v>
      </c>
      <c r="M244">
        <v>158</v>
      </c>
      <c r="N244" s="1">
        <f t="shared" si="6"/>
        <v>0.68588469184890655</v>
      </c>
      <c r="O244" s="1">
        <f t="shared" si="7"/>
        <v>0.31411530815109345</v>
      </c>
    </row>
    <row r="245" spans="1:15" x14ac:dyDescent="0.25">
      <c r="A245" t="s">
        <v>637</v>
      </c>
      <c r="B245" t="s">
        <v>638</v>
      </c>
      <c r="C245" t="s">
        <v>448</v>
      </c>
      <c r="D245">
        <v>2.86</v>
      </c>
      <c r="E245">
        <v>1.36</v>
      </c>
      <c r="F245">
        <v>5.86</v>
      </c>
      <c r="G245">
        <v>13</v>
      </c>
      <c r="H245">
        <v>79</v>
      </c>
      <c r="I245">
        <v>4</v>
      </c>
      <c r="J245">
        <v>0</v>
      </c>
      <c r="K245" t="s">
        <v>344</v>
      </c>
      <c r="L245">
        <v>503</v>
      </c>
      <c r="M245">
        <v>158</v>
      </c>
      <c r="N245" s="1">
        <f t="shared" si="6"/>
        <v>0.68588469184890655</v>
      </c>
      <c r="O245" s="1">
        <f t="shared" si="7"/>
        <v>0.31411530815109345</v>
      </c>
    </row>
    <row r="246" spans="1:15" x14ac:dyDescent="0.25">
      <c r="A246" t="s">
        <v>639</v>
      </c>
      <c r="B246" t="s">
        <v>640</v>
      </c>
      <c r="C246" t="s">
        <v>641</v>
      </c>
      <c r="D246">
        <v>2.86</v>
      </c>
      <c r="E246">
        <v>2.0699999999999998</v>
      </c>
      <c r="F246">
        <v>5.84</v>
      </c>
      <c r="G246">
        <v>15.79</v>
      </c>
      <c r="H246">
        <v>76.77</v>
      </c>
      <c r="I246">
        <v>1.87</v>
      </c>
      <c r="J246">
        <v>0</v>
      </c>
      <c r="K246" t="s">
        <v>344</v>
      </c>
      <c r="L246">
        <v>503</v>
      </c>
      <c r="M246">
        <v>158</v>
      </c>
      <c r="N246" s="1">
        <f t="shared" si="6"/>
        <v>0.68588469184890655</v>
      </c>
      <c r="O246" s="1">
        <f t="shared" si="7"/>
        <v>0.31411530815109345</v>
      </c>
    </row>
    <row r="247" spans="1:15" x14ac:dyDescent="0.25">
      <c r="A247" t="s">
        <v>642</v>
      </c>
      <c r="B247" t="s">
        <v>643</v>
      </c>
      <c r="C247" t="s">
        <v>644</v>
      </c>
      <c r="D247">
        <v>2.86</v>
      </c>
      <c r="E247">
        <v>2.39</v>
      </c>
      <c r="F247">
        <v>5.86</v>
      </c>
      <c r="G247">
        <v>1.02</v>
      </c>
      <c r="H247">
        <v>79.930000000000007</v>
      </c>
      <c r="I247">
        <v>1</v>
      </c>
      <c r="J247">
        <v>0</v>
      </c>
      <c r="K247" t="s">
        <v>344</v>
      </c>
      <c r="L247">
        <v>503</v>
      </c>
      <c r="M247">
        <v>158</v>
      </c>
      <c r="N247" s="1">
        <f t="shared" si="6"/>
        <v>0.68588469184890655</v>
      </c>
      <c r="O247" s="1">
        <f t="shared" si="7"/>
        <v>0.31411530815109345</v>
      </c>
    </row>
    <row r="248" spans="1:15" x14ac:dyDescent="0.25">
      <c r="A248" t="s">
        <v>645</v>
      </c>
      <c r="B248" t="s">
        <v>646</v>
      </c>
      <c r="C248" t="s">
        <v>448</v>
      </c>
      <c r="D248">
        <v>2.85</v>
      </c>
      <c r="E248">
        <v>1.37</v>
      </c>
      <c r="F248">
        <v>5.82</v>
      </c>
      <c r="G248">
        <v>13</v>
      </c>
      <c r="H248">
        <v>79</v>
      </c>
      <c r="I248">
        <v>4</v>
      </c>
      <c r="J248">
        <v>0</v>
      </c>
      <c r="K248" t="s">
        <v>344</v>
      </c>
      <c r="L248">
        <v>503</v>
      </c>
      <c r="M248">
        <v>158</v>
      </c>
      <c r="N248" s="1">
        <f t="shared" si="6"/>
        <v>0.68588469184890655</v>
      </c>
      <c r="O248" s="1">
        <f t="shared" si="7"/>
        <v>0.31411530815109345</v>
      </c>
    </row>
    <row r="249" spans="1:15" x14ac:dyDescent="0.25">
      <c r="A249" t="s">
        <v>647</v>
      </c>
      <c r="B249" t="s">
        <v>648</v>
      </c>
      <c r="C249" t="s">
        <v>448</v>
      </c>
      <c r="D249">
        <v>2.82</v>
      </c>
      <c r="E249">
        <v>1.36</v>
      </c>
      <c r="F249">
        <v>5.76</v>
      </c>
      <c r="G249">
        <v>16.649999999999999</v>
      </c>
      <c r="H249">
        <v>75.63</v>
      </c>
      <c r="I249">
        <v>3.59</v>
      </c>
      <c r="J249">
        <v>0</v>
      </c>
      <c r="K249" t="s">
        <v>344</v>
      </c>
      <c r="L249">
        <v>503</v>
      </c>
      <c r="M249">
        <v>160</v>
      </c>
      <c r="N249" s="1">
        <f t="shared" si="6"/>
        <v>0.68190854870775341</v>
      </c>
      <c r="O249" s="1">
        <f t="shared" si="7"/>
        <v>0.31809145129224653</v>
      </c>
    </row>
    <row r="250" spans="1:15" x14ac:dyDescent="0.25">
      <c r="A250" t="s">
        <v>649</v>
      </c>
      <c r="B250" t="s">
        <v>650</v>
      </c>
      <c r="C250" t="s">
        <v>651</v>
      </c>
      <c r="D250">
        <v>2.81</v>
      </c>
      <c r="E250">
        <v>3.3</v>
      </c>
      <c r="F250">
        <v>5.75</v>
      </c>
      <c r="G250">
        <v>12</v>
      </c>
      <c r="H250">
        <v>83.09</v>
      </c>
      <c r="I250">
        <v>1.91</v>
      </c>
      <c r="J250">
        <v>3</v>
      </c>
      <c r="K250" t="s">
        <v>344</v>
      </c>
      <c r="L250">
        <v>503</v>
      </c>
      <c r="M250">
        <v>160</v>
      </c>
      <c r="N250" s="1">
        <f t="shared" si="6"/>
        <v>0.68190854870775341</v>
      </c>
      <c r="O250" s="1">
        <f t="shared" si="7"/>
        <v>0.31809145129224653</v>
      </c>
    </row>
    <row r="251" spans="1:15" x14ac:dyDescent="0.25">
      <c r="A251" t="s">
        <v>652</v>
      </c>
      <c r="B251" t="s">
        <v>653</v>
      </c>
      <c r="C251" t="s">
        <v>626</v>
      </c>
      <c r="D251">
        <v>2.79</v>
      </c>
      <c r="E251">
        <v>2.06</v>
      </c>
      <c r="F251">
        <v>5.7</v>
      </c>
      <c r="G251">
        <v>6</v>
      </c>
      <c r="H251">
        <v>78</v>
      </c>
      <c r="I251">
        <v>5</v>
      </c>
      <c r="J251">
        <v>0</v>
      </c>
      <c r="K251" t="s">
        <v>344</v>
      </c>
      <c r="L251">
        <v>503</v>
      </c>
      <c r="M251">
        <v>160</v>
      </c>
      <c r="N251" s="1">
        <f t="shared" si="6"/>
        <v>0.68190854870775341</v>
      </c>
      <c r="O251" s="1">
        <f t="shared" si="7"/>
        <v>0.31809145129224653</v>
      </c>
    </row>
    <row r="252" spans="1:15" x14ac:dyDescent="0.25">
      <c r="A252" t="s">
        <v>654</v>
      </c>
      <c r="B252" t="s">
        <v>655</v>
      </c>
      <c r="C252" t="s">
        <v>656</v>
      </c>
      <c r="D252">
        <v>2.79</v>
      </c>
      <c r="E252">
        <v>1.37</v>
      </c>
      <c r="F252">
        <v>5.71</v>
      </c>
      <c r="G252">
        <v>7</v>
      </c>
      <c r="H252">
        <v>88</v>
      </c>
      <c r="I252">
        <v>5</v>
      </c>
      <c r="J252">
        <v>0</v>
      </c>
      <c r="K252" t="s">
        <v>344</v>
      </c>
      <c r="L252">
        <v>503</v>
      </c>
      <c r="M252">
        <v>160</v>
      </c>
      <c r="N252" s="1">
        <f t="shared" si="6"/>
        <v>0.68190854870775341</v>
      </c>
      <c r="O252" s="1">
        <f t="shared" si="7"/>
        <v>0.31809145129224653</v>
      </c>
    </row>
    <row r="253" spans="1:15" x14ac:dyDescent="0.25">
      <c r="A253" t="s">
        <v>657</v>
      </c>
      <c r="B253" t="s">
        <v>658</v>
      </c>
      <c r="C253" t="s">
        <v>659</v>
      </c>
      <c r="D253">
        <v>2.79</v>
      </c>
      <c r="E253">
        <v>3.4</v>
      </c>
      <c r="F253">
        <v>5.72</v>
      </c>
      <c r="G253">
        <v>5</v>
      </c>
      <c r="H253">
        <v>54</v>
      </c>
      <c r="I253">
        <v>1</v>
      </c>
      <c r="J253">
        <v>0</v>
      </c>
      <c r="K253" t="s">
        <v>344</v>
      </c>
      <c r="L253">
        <v>503</v>
      </c>
      <c r="M253">
        <v>160</v>
      </c>
      <c r="N253" s="1">
        <f t="shared" si="6"/>
        <v>0.68190854870775341</v>
      </c>
      <c r="O253" s="1">
        <f t="shared" si="7"/>
        <v>0.31809145129224653</v>
      </c>
    </row>
    <row r="254" spans="1:15" x14ac:dyDescent="0.25">
      <c r="A254" t="s">
        <v>660</v>
      </c>
      <c r="B254" t="s">
        <v>661</v>
      </c>
      <c r="C254" t="s">
        <v>626</v>
      </c>
      <c r="D254">
        <v>2.77</v>
      </c>
      <c r="E254">
        <v>2.06</v>
      </c>
      <c r="F254">
        <v>5.66</v>
      </c>
      <c r="G254">
        <v>12.09</v>
      </c>
      <c r="H254">
        <v>78.09</v>
      </c>
      <c r="I254">
        <v>4.75</v>
      </c>
      <c r="J254">
        <v>0</v>
      </c>
      <c r="K254" t="s">
        <v>344</v>
      </c>
      <c r="L254">
        <v>503</v>
      </c>
      <c r="M254">
        <v>160</v>
      </c>
      <c r="N254" s="1">
        <f t="shared" si="6"/>
        <v>0.68190854870775341</v>
      </c>
      <c r="O254" s="1">
        <f t="shared" si="7"/>
        <v>0.31809145129224653</v>
      </c>
    </row>
    <row r="255" spans="1:15" x14ac:dyDescent="0.25">
      <c r="A255" t="s">
        <v>662</v>
      </c>
      <c r="B255" t="s">
        <v>663</v>
      </c>
      <c r="C255" t="s">
        <v>626</v>
      </c>
      <c r="D255">
        <v>2.77</v>
      </c>
      <c r="E255">
        <v>2.06</v>
      </c>
      <c r="F255">
        <v>5.65</v>
      </c>
      <c r="G255">
        <v>6</v>
      </c>
      <c r="H255">
        <v>78</v>
      </c>
      <c r="I255">
        <v>5</v>
      </c>
      <c r="J255">
        <v>0</v>
      </c>
      <c r="K255" t="s">
        <v>344</v>
      </c>
      <c r="L255">
        <v>503</v>
      </c>
      <c r="M255">
        <v>161</v>
      </c>
      <c r="N255" s="1">
        <f t="shared" si="6"/>
        <v>0.67992047713717696</v>
      </c>
      <c r="O255" s="1">
        <f t="shared" si="7"/>
        <v>0.32007952286282304</v>
      </c>
    </row>
    <row r="256" spans="1:15" x14ac:dyDescent="0.25">
      <c r="A256" t="s">
        <v>664</v>
      </c>
      <c r="B256" t="s">
        <v>665</v>
      </c>
      <c r="C256" t="s">
        <v>666</v>
      </c>
      <c r="D256">
        <v>2.76</v>
      </c>
      <c r="E256">
        <v>1.44</v>
      </c>
      <c r="F256">
        <v>5.65</v>
      </c>
      <c r="G256">
        <v>9.1</v>
      </c>
      <c r="H256">
        <v>77.3</v>
      </c>
      <c r="I256">
        <v>1</v>
      </c>
      <c r="J256">
        <v>5</v>
      </c>
      <c r="K256" t="s">
        <v>344</v>
      </c>
      <c r="L256">
        <v>503</v>
      </c>
      <c r="M256">
        <v>161</v>
      </c>
      <c r="N256" s="1">
        <f t="shared" si="6"/>
        <v>0.67992047713717696</v>
      </c>
      <c r="O256" s="1">
        <f t="shared" si="7"/>
        <v>0.32007952286282304</v>
      </c>
    </row>
    <row r="257" spans="1:15" x14ac:dyDescent="0.25">
      <c r="A257" t="s">
        <v>667</v>
      </c>
      <c r="B257" t="s">
        <v>668</v>
      </c>
      <c r="C257" t="s">
        <v>669</v>
      </c>
      <c r="D257">
        <v>2.72</v>
      </c>
      <c r="E257">
        <v>1.78</v>
      </c>
      <c r="F257">
        <v>5.56</v>
      </c>
      <c r="G257">
        <v>0</v>
      </c>
      <c r="H257">
        <v>88.2</v>
      </c>
      <c r="I257">
        <v>3</v>
      </c>
      <c r="J257">
        <v>0</v>
      </c>
      <c r="K257" t="s">
        <v>344</v>
      </c>
      <c r="L257">
        <v>503</v>
      </c>
      <c r="M257">
        <v>164</v>
      </c>
      <c r="N257" s="1">
        <f t="shared" si="6"/>
        <v>0.67395626242544737</v>
      </c>
      <c r="O257" s="1">
        <f t="shared" si="7"/>
        <v>0.32604373757455268</v>
      </c>
    </row>
    <row r="258" spans="1:15" x14ac:dyDescent="0.25">
      <c r="A258" t="s">
        <v>670</v>
      </c>
      <c r="B258" t="s">
        <v>671</v>
      </c>
      <c r="C258" t="s">
        <v>672</v>
      </c>
      <c r="D258">
        <v>2.68</v>
      </c>
      <c r="E258">
        <v>2.16</v>
      </c>
      <c r="F258">
        <v>5.47</v>
      </c>
      <c r="G258">
        <v>8.15</v>
      </c>
      <c r="H258">
        <v>86.14</v>
      </c>
      <c r="I258">
        <v>0.96</v>
      </c>
      <c r="J258">
        <v>0</v>
      </c>
      <c r="K258" t="s">
        <v>344</v>
      </c>
      <c r="L258">
        <v>503</v>
      </c>
      <c r="M258">
        <v>167</v>
      </c>
      <c r="N258" s="1">
        <f t="shared" ref="N258:N321" si="8">1-O258</f>
        <v>0.66799204771371767</v>
      </c>
      <c r="O258" s="1">
        <f t="shared" ref="O258:O321" si="9">M258/L258</f>
        <v>0.33200795228628233</v>
      </c>
    </row>
    <row r="259" spans="1:15" x14ac:dyDescent="0.25">
      <c r="A259" t="s">
        <v>673</v>
      </c>
      <c r="B259" t="s">
        <v>674</v>
      </c>
      <c r="C259" t="s">
        <v>675</v>
      </c>
      <c r="D259">
        <v>2.62</v>
      </c>
      <c r="E259">
        <v>3.29</v>
      </c>
      <c r="F259">
        <v>5.36</v>
      </c>
      <c r="G259">
        <v>14.46</v>
      </c>
      <c r="H259">
        <v>78.02</v>
      </c>
      <c r="I259">
        <v>0.98</v>
      </c>
      <c r="J259">
        <v>0</v>
      </c>
      <c r="K259" t="s">
        <v>344</v>
      </c>
      <c r="L259">
        <v>503</v>
      </c>
      <c r="M259">
        <v>168</v>
      </c>
      <c r="N259" s="1">
        <f t="shared" si="8"/>
        <v>0.66600397614314111</v>
      </c>
      <c r="O259" s="1">
        <f t="shared" si="9"/>
        <v>0.33399602385685884</v>
      </c>
    </row>
    <row r="260" spans="1:15" x14ac:dyDescent="0.25">
      <c r="A260" t="s">
        <v>676</v>
      </c>
      <c r="B260" t="s">
        <v>665</v>
      </c>
      <c r="C260" t="s">
        <v>677</v>
      </c>
      <c r="D260">
        <v>2.59</v>
      </c>
      <c r="E260">
        <v>1.63</v>
      </c>
      <c r="F260">
        <v>5.3</v>
      </c>
      <c r="G260">
        <v>6.1</v>
      </c>
      <c r="H260">
        <v>81.709999999999994</v>
      </c>
      <c r="I260">
        <v>0.94</v>
      </c>
      <c r="J260">
        <v>4.93</v>
      </c>
      <c r="K260" t="s">
        <v>344</v>
      </c>
      <c r="L260">
        <v>503</v>
      </c>
      <c r="M260">
        <v>171</v>
      </c>
      <c r="N260" s="1">
        <f t="shared" si="8"/>
        <v>0.66003976143141152</v>
      </c>
      <c r="O260" s="1">
        <f t="shared" si="9"/>
        <v>0.33996023856858848</v>
      </c>
    </row>
    <row r="261" spans="1:15" x14ac:dyDescent="0.25">
      <c r="A261" t="s">
        <v>678</v>
      </c>
      <c r="B261" t="s">
        <v>679</v>
      </c>
      <c r="C261" t="s">
        <v>680</v>
      </c>
      <c r="D261">
        <v>2.59</v>
      </c>
      <c r="E261">
        <v>1.44</v>
      </c>
      <c r="F261">
        <v>5.3</v>
      </c>
      <c r="G261">
        <v>14.34</v>
      </c>
      <c r="H261">
        <v>78.33</v>
      </c>
      <c r="I261">
        <v>2.06</v>
      </c>
      <c r="J261">
        <v>4.43</v>
      </c>
      <c r="K261" t="s">
        <v>344</v>
      </c>
      <c r="L261">
        <v>503</v>
      </c>
      <c r="M261">
        <v>171</v>
      </c>
      <c r="N261" s="1">
        <f t="shared" si="8"/>
        <v>0.66003976143141152</v>
      </c>
      <c r="O261" s="1">
        <f t="shared" si="9"/>
        <v>0.33996023856858848</v>
      </c>
    </row>
    <row r="262" spans="1:15" x14ac:dyDescent="0.25">
      <c r="A262" t="s">
        <v>681</v>
      </c>
      <c r="B262" t="s">
        <v>682</v>
      </c>
      <c r="C262" t="s">
        <v>683</v>
      </c>
      <c r="D262">
        <v>2.5499999999999998</v>
      </c>
      <c r="E262">
        <v>2.21</v>
      </c>
      <c r="F262">
        <v>5.22</v>
      </c>
      <c r="G262">
        <v>5</v>
      </c>
      <c r="H262">
        <v>91.94</v>
      </c>
      <c r="I262">
        <v>1.56</v>
      </c>
      <c r="J262">
        <v>0</v>
      </c>
      <c r="K262" t="s">
        <v>344</v>
      </c>
      <c r="L262">
        <v>503</v>
      </c>
      <c r="M262">
        <v>174</v>
      </c>
      <c r="N262" s="1">
        <f t="shared" si="8"/>
        <v>0.65407554671968193</v>
      </c>
      <c r="O262" s="1">
        <f t="shared" si="9"/>
        <v>0.34592445328031807</v>
      </c>
    </row>
    <row r="263" spans="1:15" x14ac:dyDescent="0.25">
      <c r="A263" t="s">
        <v>684</v>
      </c>
      <c r="B263" t="s">
        <v>685</v>
      </c>
      <c r="C263" t="s">
        <v>686</v>
      </c>
      <c r="D263">
        <v>2.5</v>
      </c>
      <c r="E263">
        <v>0.89</v>
      </c>
      <c r="F263">
        <v>5.0999999999999996</v>
      </c>
      <c r="G263">
        <v>15.97</v>
      </c>
      <c r="H263">
        <v>68.680000000000007</v>
      </c>
      <c r="I263">
        <v>15.35</v>
      </c>
      <c r="J263">
        <v>4.83</v>
      </c>
      <c r="K263" t="s">
        <v>344</v>
      </c>
      <c r="L263">
        <v>503</v>
      </c>
      <c r="M263">
        <v>177</v>
      </c>
      <c r="N263" s="1">
        <f t="shared" si="8"/>
        <v>0.64811133200795235</v>
      </c>
      <c r="O263" s="1">
        <f t="shared" si="9"/>
        <v>0.35188866799204771</v>
      </c>
    </row>
    <row r="264" spans="1:15" x14ac:dyDescent="0.25">
      <c r="A264" t="s">
        <v>687</v>
      </c>
      <c r="B264" t="s">
        <v>688</v>
      </c>
      <c r="C264" t="s">
        <v>490</v>
      </c>
      <c r="D264">
        <v>2.4900000000000002</v>
      </c>
      <c r="E264">
        <v>2.52</v>
      </c>
      <c r="F264">
        <v>5.09</v>
      </c>
      <c r="G264">
        <v>11.22</v>
      </c>
      <c r="H264">
        <v>69.34</v>
      </c>
      <c r="I264">
        <v>3.81</v>
      </c>
      <c r="J264">
        <v>0</v>
      </c>
      <c r="K264" t="s">
        <v>344</v>
      </c>
      <c r="L264">
        <v>503</v>
      </c>
      <c r="M264">
        <v>177</v>
      </c>
      <c r="N264" s="1">
        <f t="shared" si="8"/>
        <v>0.64811133200795235</v>
      </c>
      <c r="O264" s="1">
        <f t="shared" si="9"/>
        <v>0.35188866799204771</v>
      </c>
    </row>
    <row r="265" spans="1:15" x14ac:dyDescent="0.25">
      <c r="A265" t="s">
        <v>689</v>
      </c>
      <c r="B265" t="s">
        <v>690</v>
      </c>
      <c r="C265" t="s">
        <v>626</v>
      </c>
      <c r="D265">
        <v>2.4700000000000002</v>
      </c>
      <c r="E265">
        <v>2.06</v>
      </c>
      <c r="F265">
        <v>5.04</v>
      </c>
      <c r="G265">
        <v>11.26</v>
      </c>
      <c r="H265">
        <v>76.37</v>
      </c>
      <c r="I265">
        <v>3.7</v>
      </c>
      <c r="J265">
        <v>0</v>
      </c>
      <c r="K265" t="s">
        <v>344</v>
      </c>
      <c r="L265">
        <v>503</v>
      </c>
      <c r="M265">
        <v>179</v>
      </c>
      <c r="N265" s="1">
        <f t="shared" si="8"/>
        <v>0.64413518886679921</v>
      </c>
      <c r="O265" s="1">
        <f t="shared" si="9"/>
        <v>0.35586481113320079</v>
      </c>
    </row>
    <row r="266" spans="1:15" x14ac:dyDescent="0.25">
      <c r="A266" t="s">
        <v>691</v>
      </c>
      <c r="B266" t="s">
        <v>692</v>
      </c>
      <c r="D266">
        <v>2.4300000000000002</v>
      </c>
      <c r="E266">
        <v>0</v>
      </c>
      <c r="F266">
        <v>4.95</v>
      </c>
      <c r="G266">
        <v>7.18</v>
      </c>
      <c r="H266">
        <v>84.04</v>
      </c>
      <c r="I266">
        <v>4.59</v>
      </c>
      <c r="J266">
        <v>0</v>
      </c>
      <c r="K266" t="s">
        <v>344</v>
      </c>
      <c r="L266">
        <v>503</v>
      </c>
      <c r="M266">
        <v>183</v>
      </c>
      <c r="N266" s="1">
        <f t="shared" si="8"/>
        <v>0.63618290258449306</v>
      </c>
      <c r="O266" s="1">
        <f t="shared" si="9"/>
        <v>0.36381709741550694</v>
      </c>
    </row>
    <row r="267" spans="1:15" x14ac:dyDescent="0.25">
      <c r="A267" t="s">
        <v>693</v>
      </c>
      <c r="B267" t="s">
        <v>694</v>
      </c>
      <c r="D267">
        <v>2.4300000000000002</v>
      </c>
      <c r="E267">
        <v>0</v>
      </c>
      <c r="F267">
        <v>4.95</v>
      </c>
      <c r="G267">
        <v>7</v>
      </c>
      <c r="H267">
        <v>84</v>
      </c>
      <c r="I267">
        <v>5</v>
      </c>
      <c r="J267">
        <v>0</v>
      </c>
      <c r="K267" t="s">
        <v>344</v>
      </c>
      <c r="L267">
        <v>503</v>
      </c>
      <c r="M267">
        <v>183</v>
      </c>
      <c r="N267" s="1">
        <f t="shared" si="8"/>
        <v>0.63618290258449306</v>
      </c>
      <c r="O267" s="1">
        <f t="shared" si="9"/>
        <v>0.36381709741550694</v>
      </c>
    </row>
    <row r="268" spans="1:15" x14ac:dyDescent="0.25">
      <c r="A268" t="s">
        <v>695</v>
      </c>
      <c r="B268" t="s">
        <v>696</v>
      </c>
      <c r="C268" t="s">
        <v>567</v>
      </c>
      <c r="D268">
        <v>2.4300000000000002</v>
      </c>
      <c r="E268">
        <v>2.13</v>
      </c>
      <c r="F268">
        <v>4.95</v>
      </c>
      <c r="G268">
        <v>7</v>
      </c>
      <c r="H268">
        <v>84</v>
      </c>
      <c r="I268">
        <v>5</v>
      </c>
      <c r="J268">
        <v>0</v>
      </c>
      <c r="K268" t="s">
        <v>344</v>
      </c>
      <c r="L268">
        <v>503</v>
      </c>
      <c r="M268">
        <v>183</v>
      </c>
      <c r="N268" s="1">
        <f t="shared" si="8"/>
        <v>0.63618290258449306</v>
      </c>
      <c r="O268" s="1">
        <f t="shared" si="9"/>
        <v>0.36381709741550694</v>
      </c>
    </row>
    <row r="269" spans="1:15" x14ac:dyDescent="0.25">
      <c r="A269" t="s">
        <v>697</v>
      </c>
      <c r="B269" t="s">
        <v>698</v>
      </c>
      <c r="D269">
        <v>2.4300000000000002</v>
      </c>
      <c r="E269">
        <v>0</v>
      </c>
      <c r="F269">
        <v>4.95</v>
      </c>
      <c r="G269">
        <v>7.16</v>
      </c>
      <c r="H269">
        <v>84.05</v>
      </c>
      <c r="I269">
        <v>4.54</v>
      </c>
      <c r="J269">
        <v>0</v>
      </c>
      <c r="K269" t="s">
        <v>344</v>
      </c>
      <c r="L269">
        <v>503</v>
      </c>
      <c r="M269">
        <v>183</v>
      </c>
      <c r="N269" s="1">
        <f t="shared" si="8"/>
        <v>0.63618290258449306</v>
      </c>
      <c r="O269" s="1">
        <f t="shared" si="9"/>
        <v>0.36381709741550694</v>
      </c>
    </row>
    <row r="270" spans="1:15" x14ac:dyDescent="0.25">
      <c r="A270" t="s">
        <v>699</v>
      </c>
      <c r="B270" t="s">
        <v>700</v>
      </c>
      <c r="C270" t="s">
        <v>701</v>
      </c>
      <c r="D270">
        <v>2.42</v>
      </c>
      <c r="E270">
        <v>1.43</v>
      </c>
      <c r="F270">
        <v>4.93</v>
      </c>
      <c r="G270">
        <v>6.5</v>
      </c>
      <c r="H270">
        <v>73.27</v>
      </c>
      <c r="I270">
        <v>1</v>
      </c>
      <c r="J270">
        <v>0</v>
      </c>
      <c r="K270" t="s">
        <v>344</v>
      </c>
      <c r="L270">
        <v>503</v>
      </c>
      <c r="M270">
        <v>183</v>
      </c>
      <c r="N270" s="1">
        <f t="shared" si="8"/>
        <v>0.63618290258449306</v>
      </c>
      <c r="O270" s="1">
        <f t="shared" si="9"/>
        <v>0.36381709741550694</v>
      </c>
    </row>
    <row r="271" spans="1:15" x14ac:dyDescent="0.25">
      <c r="A271" t="s">
        <v>702</v>
      </c>
      <c r="B271" t="s">
        <v>703</v>
      </c>
      <c r="C271" t="s">
        <v>704</v>
      </c>
      <c r="D271">
        <v>2.42</v>
      </c>
      <c r="E271">
        <v>1.43</v>
      </c>
      <c r="F271">
        <v>4.93</v>
      </c>
      <c r="G271">
        <v>6.98</v>
      </c>
      <c r="H271">
        <v>72.150000000000006</v>
      </c>
      <c r="I271">
        <v>0.98</v>
      </c>
      <c r="J271">
        <v>0</v>
      </c>
      <c r="K271" t="s">
        <v>344</v>
      </c>
      <c r="L271">
        <v>503</v>
      </c>
      <c r="M271">
        <v>183</v>
      </c>
      <c r="N271" s="1">
        <f t="shared" si="8"/>
        <v>0.63618290258449306</v>
      </c>
      <c r="O271" s="1">
        <f t="shared" si="9"/>
        <v>0.36381709741550694</v>
      </c>
    </row>
    <row r="272" spans="1:15" x14ac:dyDescent="0.25">
      <c r="A272" t="s">
        <v>705</v>
      </c>
      <c r="B272" t="s">
        <v>706</v>
      </c>
      <c r="C272" t="s">
        <v>701</v>
      </c>
      <c r="D272">
        <v>2.42</v>
      </c>
      <c r="E272">
        <v>1.44</v>
      </c>
      <c r="F272">
        <v>4.93</v>
      </c>
      <c r="G272">
        <v>6.5</v>
      </c>
      <c r="H272">
        <v>73.27</v>
      </c>
      <c r="I272">
        <v>1</v>
      </c>
      <c r="J272">
        <v>0</v>
      </c>
      <c r="K272" t="s">
        <v>344</v>
      </c>
      <c r="L272">
        <v>503</v>
      </c>
      <c r="M272">
        <v>183</v>
      </c>
      <c r="N272" s="1">
        <f t="shared" si="8"/>
        <v>0.63618290258449306</v>
      </c>
      <c r="O272" s="1">
        <f t="shared" si="9"/>
        <v>0.36381709741550694</v>
      </c>
    </row>
    <row r="273" spans="1:15" x14ac:dyDescent="0.25">
      <c r="A273" t="s">
        <v>707</v>
      </c>
      <c r="B273" t="s">
        <v>708</v>
      </c>
      <c r="C273" t="s">
        <v>701</v>
      </c>
      <c r="D273">
        <v>2.42</v>
      </c>
      <c r="E273">
        <v>1.44</v>
      </c>
      <c r="F273">
        <v>4.93</v>
      </c>
      <c r="G273">
        <v>6.5</v>
      </c>
      <c r="H273">
        <v>73.27</v>
      </c>
      <c r="I273">
        <v>1</v>
      </c>
      <c r="J273">
        <v>0</v>
      </c>
      <c r="K273" t="s">
        <v>344</v>
      </c>
      <c r="L273">
        <v>503</v>
      </c>
      <c r="M273">
        <v>183</v>
      </c>
      <c r="N273" s="1">
        <f t="shared" si="8"/>
        <v>0.63618290258449306</v>
      </c>
      <c r="O273" s="1">
        <f t="shared" si="9"/>
        <v>0.36381709741550694</v>
      </c>
    </row>
    <row r="274" spans="1:15" x14ac:dyDescent="0.25">
      <c r="A274" t="s">
        <v>709</v>
      </c>
      <c r="B274" t="s">
        <v>710</v>
      </c>
      <c r="C274" t="s">
        <v>701</v>
      </c>
      <c r="D274">
        <v>2.42</v>
      </c>
      <c r="E274">
        <v>1.43</v>
      </c>
      <c r="F274">
        <v>4.93</v>
      </c>
      <c r="G274">
        <v>6.5</v>
      </c>
      <c r="H274">
        <v>73.27</v>
      </c>
      <c r="I274">
        <v>1</v>
      </c>
      <c r="J274">
        <v>0</v>
      </c>
      <c r="K274" t="s">
        <v>344</v>
      </c>
      <c r="L274">
        <v>503</v>
      </c>
      <c r="M274">
        <v>183</v>
      </c>
      <c r="N274" s="1">
        <f t="shared" si="8"/>
        <v>0.63618290258449306</v>
      </c>
      <c r="O274" s="1">
        <f t="shared" si="9"/>
        <v>0.36381709741550694</v>
      </c>
    </row>
    <row r="275" spans="1:15" x14ac:dyDescent="0.25">
      <c r="A275" t="s">
        <v>711</v>
      </c>
      <c r="B275" t="s">
        <v>712</v>
      </c>
      <c r="C275" t="s">
        <v>701</v>
      </c>
      <c r="D275">
        <v>2.42</v>
      </c>
      <c r="E275">
        <v>1.43</v>
      </c>
      <c r="F275">
        <v>4.93</v>
      </c>
      <c r="G275">
        <v>6.5</v>
      </c>
      <c r="H275">
        <v>73.27</v>
      </c>
      <c r="I275">
        <v>1</v>
      </c>
      <c r="J275">
        <v>0</v>
      </c>
      <c r="K275" t="s">
        <v>344</v>
      </c>
      <c r="L275">
        <v>503</v>
      </c>
      <c r="M275">
        <v>183</v>
      </c>
      <c r="N275" s="1">
        <f t="shared" si="8"/>
        <v>0.63618290258449306</v>
      </c>
      <c r="O275" s="1">
        <f t="shared" si="9"/>
        <v>0.36381709741550694</v>
      </c>
    </row>
    <row r="276" spans="1:15" x14ac:dyDescent="0.25">
      <c r="A276" t="s">
        <v>713</v>
      </c>
      <c r="B276" t="s">
        <v>714</v>
      </c>
      <c r="C276" t="s">
        <v>701</v>
      </c>
      <c r="D276">
        <v>2.42</v>
      </c>
      <c r="E276">
        <v>1.43</v>
      </c>
      <c r="F276">
        <v>4.93</v>
      </c>
      <c r="G276">
        <v>6.5</v>
      </c>
      <c r="H276">
        <v>73.27</v>
      </c>
      <c r="I276">
        <v>1</v>
      </c>
      <c r="J276">
        <v>0</v>
      </c>
      <c r="K276" t="s">
        <v>344</v>
      </c>
      <c r="L276">
        <v>503</v>
      </c>
      <c r="M276">
        <v>183</v>
      </c>
      <c r="N276" s="1">
        <f t="shared" si="8"/>
        <v>0.63618290258449306</v>
      </c>
      <c r="O276" s="1">
        <f t="shared" si="9"/>
        <v>0.36381709741550694</v>
      </c>
    </row>
    <row r="277" spans="1:15" x14ac:dyDescent="0.25">
      <c r="A277" t="s">
        <v>715</v>
      </c>
      <c r="B277" t="s">
        <v>716</v>
      </c>
      <c r="C277" t="s">
        <v>717</v>
      </c>
      <c r="D277">
        <v>2.41</v>
      </c>
      <c r="E277">
        <v>1.27</v>
      </c>
      <c r="F277">
        <v>4.91</v>
      </c>
      <c r="G277">
        <v>5.23</v>
      </c>
      <c r="H277">
        <v>86.95</v>
      </c>
      <c r="I277">
        <v>3.81</v>
      </c>
      <c r="J277">
        <v>5.62</v>
      </c>
      <c r="K277" t="s">
        <v>344</v>
      </c>
      <c r="L277">
        <v>503</v>
      </c>
      <c r="M277">
        <v>186</v>
      </c>
      <c r="N277" s="1">
        <f t="shared" si="8"/>
        <v>0.63021868787276336</v>
      </c>
      <c r="O277" s="1">
        <f t="shared" si="9"/>
        <v>0.36978131212723658</v>
      </c>
    </row>
    <row r="278" spans="1:15" x14ac:dyDescent="0.25">
      <c r="A278" t="s">
        <v>718</v>
      </c>
      <c r="B278" t="s">
        <v>719</v>
      </c>
      <c r="C278" t="s">
        <v>720</v>
      </c>
      <c r="D278">
        <v>2.38</v>
      </c>
      <c r="E278">
        <v>0</v>
      </c>
      <c r="F278">
        <v>4.8499999999999996</v>
      </c>
      <c r="G278">
        <v>0</v>
      </c>
      <c r="H278">
        <v>99.06</v>
      </c>
      <c r="I278">
        <v>0.95</v>
      </c>
      <c r="J278">
        <v>0</v>
      </c>
      <c r="K278" t="s">
        <v>344</v>
      </c>
      <c r="L278">
        <v>503</v>
      </c>
      <c r="M278">
        <v>188</v>
      </c>
      <c r="N278" s="1">
        <f t="shared" si="8"/>
        <v>0.62624254473161034</v>
      </c>
      <c r="O278" s="1">
        <f t="shared" si="9"/>
        <v>0.37375745526838966</v>
      </c>
    </row>
    <row r="279" spans="1:15" x14ac:dyDescent="0.25">
      <c r="A279" t="s">
        <v>721</v>
      </c>
      <c r="B279" t="s">
        <v>722</v>
      </c>
      <c r="C279" t="s">
        <v>723</v>
      </c>
      <c r="D279">
        <v>2.36</v>
      </c>
      <c r="E279">
        <v>1.5</v>
      </c>
      <c r="F279">
        <v>4.8099999999999996</v>
      </c>
      <c r="G279">
        <v>3</v>
      </c>
      <c r="H279">
        <v>94</v>
      </c>
      <c r="I279">
        <v>1</v>
      </c>
      <c r="J279">
        <v>0</v>
      </c>
      <c r="K279" t="s">
        <v>344</v>
      </c>
      <c r="L279">
        <v>503</v>
      </c>
      <c r="M279">
        <v>189</v>
      </c>
      <c r="N279" s="1">
        <f t="shared" si="8"/>
        <v>0.62425447316103377</v>
      </c>
      <c r="O279" s="1">
        <f t="shared" si="9"/>
        <v>0.37574552683896623</v>
      </c>
    </row>
    <row r="280" spans="1:15" x14ac:dyDescent="0.25">
      <c r="A280" t="s">
        <v>724</v>
      </c>
      <c r="B280" t="s">
        <v>725</v>
      </c>
      <c r="C280" t="s">
        <v>726</v>
      </c>
      <c r="D280">
        <v>2.3199999999999998</v>
      </c>
      <c r="E280">
        <v>3.4</v>
      </c>
      <c r="F280">
        <v>4.74</v>
      </c>
      <c r="G280">
        <v>4.9400000000000004</v>
      </c>
      <c r="H280">
        <v>67.989999999999995</v>
      </c>
      <c r="I280">
        <v>1.95</v>
      </c>
      <c r="J280">
        <v>0</v>
      </c>
      <c r="K280" t="s">
        <v>344</v>
      </c>
      <c r="L280">
        <v>503</v>
      </c>
      <c r="M280">
        <v>193</v>
      </c>
      <c r="N280" s="1">
        <f t="shared" si="8"/>
        <v>0.61630218687872762</v>
      </c>
      <c r="O280" s="1">
        <f t="shared" si="9"/>
        <v>0.38369781312127238</v>
      </c>
    </row>
    <row r="281" spans="1:15" x14ac:dyDescent="0.25">
      <c r="A281" t="s">
        <v>727</v>
      </c>
      <c r="B281" t="s">
        <v>728</v>
      </c>
      <c r="C281" t="s">
        <v>729</v>
      </c>
      <c r="D281">
        <v>2.29</v>
      </c>
      <c r="E281">
        <v>2.39</v>
      </c>
      <c r="F281">
        <v>4.68</v>
      </c>
      <c r="G281">
        <v>11.82</v>
      </c>
      <c r="H281">
        <v>82.25</v>
      </c>
      <c r="I281">
        <v>3.02</v>
      </c>
      <c r="J281">
        <v>0</v>
      </c>
      <c r="K281" t="s">
        <v>344</v>
      </c>
      <c r="L281">
        <v>503</v>
      </c>
      <c r="M281">
        <v>196</v>
      </c>
      <c r="N281" s="1">
        <f t="shared" si="8"/>
        <v>0.61033797216699803</v>
      </c>
      <c r="O281" s="1">
        <f t="shared" si="9"/>
        <v>0.38966202783300197</v>
      </c>
    </row>
    <row r="282" spans="1:15" x14ac:dyDescent="0.25">
      <c r="A282" t="s">
        <v>730</v>
      </c>
      <c r="B282" t="s">
        <v>731</v>
      </c>
      <c r="C282" t="s">
        <v>732</v>
      </c>
      <c r="D282">
        <v>2.29</v>
      </c>
      <c r="F282">
        <v>4.83</v>
      </c>
      <c r="G282">
        <v>3.5</v>
      </c>
      <c r="H282">
        <v>78</v>
      </c>
      <c r="I282">
        <v>1</v>
      </c>
      <c r="J282">
        <v>0</v>
      </c>
      <c r="K282" t="s">
        <v>344</v>
      </c>
      <c r="L282">
        <v>503</v>
      </c>
      <c r="M282">
        <v>196</v>
      </c>
      <c r="N282" s="1">
        <f t="shared" si="8"/>
        <v>0.61033797216699803</v>
      </c>
      <c r="O282" s="1">
        <f t="shared" si="9"/>
        <v>0.38966202783300197</v>
      </c>
    </row>
    <row r="283" spans="1:15" x14ac:dyDescent="0.25">
      <c r="A283" t="s">
        <v>733</v>
      </c>
      <c r="B283" t="s">
        <v>734</v>
      </c>
      <c r="C283" t="s">
        <v>735</v>
      </c>
      <c r="D283">
        <v>2.25</v>
      </c>
      <c r="E283">
        <v>3.02</v>
      </c>
      <c r="F283">
        <v>4.5999999999999996</v>
      </c>
      <c r="G283">
        <v>6</v>
      </c>
      <c r="H283">
        <v>80</v>
      </c>
      <c r="I283">
        <v>2</v>
      </c>
      <c r="J283">
        <v>0</v>
      </c>
      <c r="K283" t="s">
        <v>344</v>
      </c>
      <c r="L283">
        <v>503</v>
      </c>
      <c r="M283">
        <v>197</v>
      </c>
      <c r="N283" s="1">
        <f t="shared" si="8"/>
        <v>0.60834990059642147</v>
      </c>
      <c r="O283" s="1">
        <f t="shared" si="9"/>
        <v>0.39165009940357853</v>
      </c>
    </row>
    <row r="284" spans="1:15" x14ac:dyDescent="0.25">
      <c r="A284" t="s">
        <v>736</v>
      </c>
      <c r="B284" t="s">
        <v>737</v>
      </c>
      <c r="C284" t="s">
        <v>677</v>
      </c>
      <c r="D284">
        <v>2.2200000000000002</v>
      </c>
      <c r="E284">
        <v>0</v>
      </c>
      <c r="F284">
        <v>4.53</v>
      </c>
      <c r="G284">
        <v>14.19</v>
      </c>
      <c r="H284">
        <v>83.37</v>
      </c>
      <c r="I284">
        <v>0.98</v>
      </c>
      <c r="J284">
        <v>0</v>
      </c>
      <c r="K284" t="s">
        <v>344</v>
      </c>
      <c r="L284">
        <v>503</v>
      </c>
      <c r="M284">
        <v>200</v>
      </c>
      <c r="N284" s="1">
        <f t="shared" si="8"/>
        <v>0.60238568588469188</v>
      </c>
      <c r="O284" s="1">
        <f t="shared" si="9"/>
        <v>0.39761431411530818</v>
      </c>
    </row>
    <row r="285" spans="1:15" x14ac:dyDescent="0.25">
      <c r="A285" t="s">
        <v>738</v>
      </c>
      <c r="B285" t="s">
        <v>739</v>
      </c>
      <c r="C285" t="s">
        <v>539</v>
      </c>
      <c r="D285">
        <v>2.2200000000000002</v>
      </c>
      <c r="E285">
        <v>2.56</v>
      </c>
      <c r="F285">
        <v>4.54</v>
      </c>
      <c r="G285">
        <v>0.5</v>
      </c>
      <c r="H285">
        <v>66.5</v>
      </c>
      <c r="I285">
        <v>1</v>
      </c>
      <c r="J285">
        <v>0.5</v>
      </c>
      <c r="K285" t="s">
        <v>344</v>
      </c>
      <c r="L285">
        <v>503</v>
      </c>
      <c r="M285">
        <v>200</v>
      </c>
      <c r="N285" s="1">
        <f t="shared" si="8"/>
        <v>0.60238568588469188</v>
      </c>
      <c r="O285" s="1">
        <f t="shared" si="9"/>
        <v>0.39761431411530818</v>
      </c>
    </row>
    <row r="286" spans="1:15" x14ac:dyDescent="0.25">
      <c r="A286" t="s">
        <v>740</v>
      </c>
      <c r="B286" t="s">
        <v>741</v>
      </c>
      <c r="C286" t="s">
        <v>427</v>
      </c>
      <c r="D286">
        <v>2.21</v>
      </c>
      <c r="E286">
        <v>1.43</v>
      </c>
      <c r="F286">
        <v>4.51</v>
      </c>
      <c r="G286">
        <v>10.02</v>
      </c>
      <c r="H286">
        <v>80.02</v>
      </c>
      <c r="I286">
        <v>0.95</v>
      </c>
      <c r="J286">
        <v>0</v>
      </c>
      <c r="K286" t="s">
        <v>344</v>
      </c>
      <c r="L286">
        <v>503</v>
      </c>
      <c r="M286">
        <v>200</v>
      </c>
      <c r="N286" s="1">
        <f t="shared" si="8"/>
        <v>0.60238568588469188</v>
      </c>
      <c r="O286" s="1">
        <f t="shared" si="9"/>
        <v>0.39761431411530818</v>
      </c>
    </row>
    <row r="287" spans="1:15" x14ac:dyDescent="0.25">
      <c r="A287" t="s">
        <v>742</v>
      </c>
      <c r="B287" t="s">
        <v>743</v>
      </c>
      <c r="C287" t="s">
        <v>744</v>
      </c>
      <c r="D287">
        <v>2.2000000000000002</v>
      </c>
      <c r="E287">
        <v>1.37</v>
      </c>
      <c r="F287">
        <v>4.49</v>
      </c>
      <c r="G287">
        <v>7</v>
      </c>
      <c r="H287">
        <v>80</v>
      </c>
      <c r="I287">
        <v>2</v>
      </c>
      <c r="J287">
        <v>0</v>
      </c>
      <c r="K287" t="s">
        <v>344</v>
      </c>
      <c r="L287">
        <v>503</v>
      </c>
      <c r="M287">
        <v>202</v>
      </c>
      <c r="N287" s="1">
        <f t="shared" si="8"/>
        <v>0.59840954274353875</v>
      </c>
      <c r="O287" s="1">
        <f t="shared" si="9"/>
        <v>0.40159045725646125</v>
      </c>
    </row>
    <row r="288" spans="1:15" x14ac:dyDescent="0.25">
      <c r="A288" t="s">
        <v>745</v>
      </c>
      <c r="B288" t="s">
        <v>746</v>
      </c>
      <c r="C288" t="s">
        <v>747</v>
      </c>
      <c r="D288">
        <v>2.2000000000000002</v>
      </c>
      <c r="E288">
        <v>1.36</v>
      </c>
      <c r="F288">
        <v>4.49</v>
      </c>
      <c r="G288">
        <v>7</v>
      </c>
      <c r="H288">
        <v>80</v>
      </c>
      <c r="I288">
        <v>2</v>
      </c>
      <c r="J288">
        <v>0</v>
      </c>
      <c r="K288" t="s">
        <v>344</v>
      </c>
      <c r="L288">
        <v>503</v>
      </c>
      <c r="M288">
        <v>202</v>
      </c>
      <c r="N288" s="1">
        <f t="shared" si="8"/>
        <v>0.59840954274353875</v>
      </c>
      <c r="O288" s="1">
        <f t="shared" si="9"/>
        <v>0.40159045725646125</v>
      </c>
    </row>
    <row r="289" spans="1:15" x14ac:dyDescent="0.25">
      <c r="A289" t="s">
        <v>748</v>
      </c>
      <c r="B289" t="s">
        <v>749</v>
      </c>
      <c r="C289" t="s">
        <v>524</v>
      </c>
      <c r="D289">
        <v>2.2000000000000002</v>
      </c>
      <c r="E289">
        <v>2.5</v>
      </c>
      <c r="F289">
        <v>4.49</v>
      </c>
      <c r="G289">
        <v>15.8</v>
      </c>
      <c r="H289">
        <v>75.91</v>
      </c>
      <c r="I289">
        <v>2</v>
      </c>
      <c r="J289">
        <v>0</v>
      </c>
      <c r="K289" t="s">
        <v>344</v>
      </c>
      <c r="L289">
        <v>503</v>
      </c>
      <c r="M289">
        <v>202</v>
      </c>
      <c r="N289" s="1">
        <f t="shared" si="8"/>
        <v>0.59840954274353875</v>
      </c>
      <c r="O289" s="1">
        <f t="shared" si="9"/>
        <v>0.40159045725646125</v>
      </c>
    </row>
    <row r="290" spans="1:15" x14ac:dyDescent="0.25">
      <c r="A290" t="s">
        <v>750</v>
      </c>
      <c r="B290" t="s">
        <v>751</v>
      </c>
      <c r="C290" t="s">
        <v>301</v>
      </c>
      <c r="D290">
        <v>2.19</v>
      </c>
      <c r="E290">
        <v>2.13</v>
      </c>
      <c r="F290">
        <v>4.46</v>
      </c>
      <c r="G290">
        <v>15.35</v>
      </c>
      <c r="H290">
        <v>82.69</v>
      </c>
      <c r="I290">
        <v>1.96</v>
      </c>
      <c r="J290">
        <v>1.67</v>
      </c>
      <c r="K290" t="s">
        <v>344</v>
      </c>
      <c r="L290">
        <v>503</v>
      </c>
      <c r="M290">
        <v>202</v>
      </c>
      <c r="N290" s="1">
        <f t="shared" si="8"/>
        <v>0.59840954274353875</v>
      </c>
      <c r="O290" s="1">
        <f t="shared" si="9"/>
        <v>0.40159045725646125</v>
      </c>
    </row>
    <row r="291" spans="1:15" x14ac:dyDescent="0.25">
      <c r="A291" t="s">
        <v>752</v>
      </c>
      <c r="B291" t="s">
        <v>753</v>
      </c>
      <c r="C291" t="s">
        <v>726</v>
      </c>
      <c r="D291">
        <v>2.15</v>
      </c>
      <c r="E291">
        <v>3.4</v>
      </c>
      <c r="F291">
        <v>4.37</v>
      </c>
      <c r="G291">
        <v>9.19</v>
      </c>
      <c r="H291">
        <v>79.05</v>
      </c>
      <c r="I291">
        <v>0.8</v>
      </c>
      <c r="J291">
        <v>9.19</v>
      </c>
      <c r="K291" t="s">
        <v>344</v>
      </c>
      <c r="L291">
        <v>503</v>
      </c>
      <c r="M291">
        <v>206</v>
      </c>
      <c r="N291" s="1">
        <f t="shared" si="8"/>
        <v>0.59045725646123259</v>
      </c>
      <c r="O291" s="1">
        <f t="shared" si="9"/>
        <v>0.40954274353876741</v>
      </c>
    </row>
    <row r="292" spans="1:15" x14ac:dyDescent="0.25">
      <c r="A292" t="s">
        <v>754</v>
      </c>
      <c r="B292" t="s">
        <v>755</v>
      </c>
      <c r="C292" t="s">
        <v>756</v>
      </c>
      <c r="D292">
        <v>2.13</v>
      </c>
      <c r="E292">
        <v>2.39</v>
      </c>
      <c r="F292">
        <v>4.34</v>
      </c>
      <c r="G292">
        <v>6</v>
      </c>
      <c r="H292">
        <v>64</v>
      </c>
      <c r="I292">
        <v>1</v>
      </c>
      <c r="J292">
        <v>8</v>
      </c>
      <c r="K292" t="s">
        <v>344</v>
      </c>
      <c r="L292">
        <v>503</v>
      </c>
      <c r="M292">
        <v>207</v>
      </c>
      <c r="N292" s="1">
        <f t="shared" si="8"/>
        <v>0.58846918489065603</v>
      </c>
      <c r="O292" s="1">
        <f t="shared" si="9"/>
        <v>0.41153081510934392</v>
      </c>
    </row>
    <row r="293" spans="1:15" x14ac:dyDescent="0.25">
      <c r="A293" t="s">
        <v>757</v>
      </c>
      <c r="B293" t="s">
        <v>758</v>
      </c>
      <c r="C293" t="s">
        <v>756</v>
      </c>
      <c r="D293">
        <v>2.13</v>
      </c>
      <c r="E293">
        <v>2.39</v>
      </c>
      <c r="F293">
        <v>4.34</v>
      </c>
      <c r="G293">
        <v>6</v>
      </c>
      <c r="H293">
        <v>64</v>
      </c>
      <c r="I293">
        <v>1</v>
      </c>
      <c r="J293">
        <v>8</v>
      </c>
      <c r="K293" t="s">
        <v>344</v>
      </c>
      <c r="L293">
        <v>503</v>
      </c>
      <c r="M293">
        <v>207</v>
      </c>
      <c r="N293" s="1">
        <f t="shared" si="8"/>
        <v>0.58846918489065603</v>
      </c>
      <c r="O293" s="1">
        <f t="shared" si="9"/>
        <v>0.41153081510934392</v>
      </c>
    </row>
    <row r="294" spans="1:15" x14ac:dyDescent="0.25">
      <c r="A294" t="s">
        <v>759</v>
      </c>
      <c r="B294" t="s">
        <v>760</v>
      </c>
      <c r="C294" t="s">
        <v>756</v>
      </c>
      <c r="D294">
        <v>2.13</v>
      </c>
      <c r="E294">
        <v>2.39</v>
      </c>
      <c r="F294">
        <v>4.34</v>
      </c>
      <c r="G294">
        <v>6</v>
      </c>
      <c r="H294">
        <v>64</v>
      </c>
      <c r="I294">
        <v>1</v>
      </c>
      <c r="J294">
        <v>8</v>
      </c>
      <c r="K294" t="s">
        <v>344</v>
      </c>
      <c r="L294">
        <v>503</v>
      </c>
      <c r="M294">
        <v>207</v>
      </c>
      <c r="N294" s="1">
        <f t="shared" si="8"/>
        <v>0.58846918489065603</v>
      </c>
      <c r="O294" s="1">
        <f t="shared" si="9"/>
        <v>0.41153081510934392</v>
      </c>
    </row>
    <row r="295" spans="1:15" x14ac:dyDescent="0.25">
      <c r="A295" t="s">
        <v>761</v>
      </c>
      <c r="B295" t="s">
        <v>762</v>
      </c>
      <c r="C295" t="s">
        <v>756</v>
      </c>
      <c r="D295">
        <v>2.13</v>
      </c>
      <c r="E295">
        <v>2.38</v>
      </c>
      <c r="F295">
        <v>4.34</v>
      </c>
      <c r="G295">
        <v>7.34</v>
      </c>
      <c r="H295">
        <v>60.46</v>
      </c>
      <c r="I295">
        <v>0.93</v>
      </c>
      <c r="J295">
        <v>7.43</v>
      </c>
      <c r="K295" t="s">
        <v>344</v>
      </c>
      <c r="L295">
        <v>503</v>
      </c>
      <c r="M295">
        <v>207</v>
      </c>
      <c r="N295" s="1">
        <f t="shared" si="8"/>
        <v>0.58846918489065603</v>
      </c>
      <c r="O295" s="1">
        <f t="shared" si="9"/>
        <v>0.41153081510934392</v>
      </c>
    </row>
    <row r="296" spans="1:15" x14ac:dyDescent="0.25">
      <c r="A296" t="s">
        <v>763</v>
      </c>
      <c r="B296" t="s">
        <v>764</v>
      </c>
      <c r="C296" t="s">
        <v>756</v>
      </c>
      <c r="D296">
        <v>2.13</v>
      </c>
      <c r="E296">
        <v>2.39</v>
      </c>
      <c r="F296">
        <v>4.34</v>
      </c>
      <c r="G296">
        <v>6</v>
      </c>
      <c r="H296">
        <v>64</v>
      </c>
      <c r="I296">
        <v>1</v>
      </c>
      <c r="J296">
        <v>8</v>
      </c>
      <c r="K296" t="s">
        <v>344</v>
      </c>
      <c r="L296">
        <v>503</v>
      </c>
      <c r="M296">
        <v>207</v>
      </c>
      <c r="N296" s="1">
        <f t="shared" si="8"/>
        <v>0.58846918489065603</v>
      </c>
      <c r="O296" s="1">
        <f t="shared" si="9"/>
        <v>0.41153081510934392</v>
      </c>
    </row>
    <row r="297" spans="1:15" x14ac:dyDescent="0.25">
      <c r="A297" t="s">
        <v>765</v>
      </c>
      <c r="B297" t="s">
        <v>766</v>
      </c>
      <c r="C297" t="s">
        <v>767</v>
      </c>
      <c r="D297">
        <v>2.12</v>
      </c>
      <c r="E297">
        <v>3.96</v>
      </c>
      <c r="F297">
        <v>4.3099999999999996</v>
      </c>
      <c r="G297">
        <v>5.5</v>
      </c>
      <c r="H297">
        <v>73.5</v>
      </c>
      <c r="I297">
        <v>2</v>
      </c>
      <c r="J297">
        <v>0</v>
      </c>
      <c r="K297" t="s">
        <v>344</v>
      </c>
      <c r="L297">
        <v>503</v>
      </c>
      <c r="M297">
        <v>207</v>
      </c>
      <c r="N297" s="1">
        <f t="shared" si="8"/>
        <v>0.58846918489065603</v>
      </c>
      <c r="O297" s="1">
        <f t="shared" si="9"/>
        <v>0.41153081510934392</v>
      </c>
    </row>
    <row r="298" spans="1:15" x14ac:dyDescent="0.25">
      <c r="A298" t="s">
        <v>768</v>
      </c>
      <c r="B298" t="s">
        <v>769</v>
      </c>
      <c r="C298" t="s">
        <v>767</v>
      </c>
      <c r="D298">
        <v>2.12</v>
      </c>
      <c r="E298">
        <v>3.95</v>
      </c>
      <c r="F298">
        <v>4.3099999999999996</v>
      </c>
      <c r="G298">
        <v>5.5</v>
      </c>
      <c r="H298">
        <v>73.5</v>
      </c>
      <c r="I298">
        <v>2</v>
      </c>
      <c r="J298">
        <v>0</v>
      </c>
      <c r="K298" t="s">
        <v>344</v>
      </c>
      <c r="L298">
        <v>503</v>
      </c>
      <c r="M298">
        <v>207</v>
      </c>
      <c r="N298" s="1">
        <f t="shared" si="8"/>
        <v>0.58846918489065603</v>
      </c>
      <c r="O298" s="1">
        <f t="shared" si="9"/>
        <v>0.41153081510934392</v>
      </c>
    </row>
    <row r="299" spans="1:15" x14ac:dyDescent="0.25">
      <c r="A299" t="s">
        <v>770</v>
      </c>
      <c r="B299" t="s">
        <v>771</v>
      </c>
      <c r="C299" t="s">
        <v>570</v>
      </c>
      <c r="D299">
        <v>2.09</v>
      </c>
      <c r="E299">
        <v>2.09</v>
      </c>
      <c r="F299">
        <v>4.26</v>
      </c>
      <c r="G299">
        <v>11.4</v>
      </c>
      <c r="H299">
        <v>80.66</v>
      </c>
      <c r="I299">
        <v>2</v>
      </c>
      <c r="J299">
        <v>0</v>
      </c>
      <c r="K299" t="s">
        <v>344</v>
      </c>
      <c r="L299">
        <v>503</v>
      </c>
      <c r="M299">
        <v>210</v>
      </c>
      <c r="N299" s="1">
        <f t="shared" si="8"/>
        <v>0.58250497017892644</v>
      </c>
      <c r="O299" s="1">
        <f t="shared" si="9"/>
        <v>0.41749502982107356</v>
      </c>
    </row>
    <row r="300" spans="1:15" x14ac:dyDescent="0.25">
      <c r="A300" t="s">
        <v>772</v>
      </c>
      <c r="B300" t="s">
        <v>773</v>
      </c>
      <c r="C300" t="s">
        <v>774</v>
      </c>
      <c r="D300">
        <v>2.0699999999999998</v>
      </c>
      <c r="E300">
        <v>2.5099999999999998</v>
      </c>
      <c r="F300">
        <v>4.21</v>
      </c>
      <c r="G300">
        <v>0</v>
      </c>
      <c r="H300">
        <v>75.78</v>
      </c>
      <c r="I300">
        <v>4.66</v>
      </c>
      <c r="J300">
        <v>0</v>
      </c>
      <c r="K300" t="s">
        <v>344</v>
      </c>
      <c r="L300">
        <v>503</v>
      </c>
      <c r="M300">
        <v>216</v>
      </c>
      <c r="N300" s="1">
        <f t="shared" si="8"/>
        <v>0.57057654075546727</v>
      </c>
      <c r="O300" s="1">
        <f t="shared" si="9"/>
        <v>0.42942345924453279</v>
      </c>
    </row>
    <row r="301" spans="1:15" x14ac:dyDescent="0.25">
      <c r="A301" t="s">
        <v>775</v>
      </c>
      <c r="B301" t="s">
        <v>776</v>
      </c>
      <c r="C301" t="s">
        <v>756</v>
      </c>
      <c r="D301">
        <v>2.0499999999999998</v>
      </c>
      <c r="E301">
        <v>2.38</v>
      </c>
      <c r="F301">
        <v>4.18</v>
      </c>
      <c r="G301">
        <v>6</v>
      </c>
      <c r="H301">
        <v>64</v>
      </c>
      <c r="I301">
        <v>1</v>
      </c>
      <c r="J301">
        <v>8</v>
      </c>
      <c r="K301" t="s">
        <v>344</v>
      </c>
      <c r="L301">
        <v>503</v>
      </c>
      <c r="M301">
        <v>217</v>
      </c>
      <c r="N301" s="1">
        <f t="shared" si="8"/>
        <v>0.56858846918489059</v>
      </c>
      <c r="O301" s="1">
        <f t="shared" si="9"/>
        <v>0.43141153081510936</v>
      </c>
    </row>
    <row r="302" spans="1:15" x14ac:dyDescent="0.25">
      <c r="A302" t="s">
        <v>777</v>
      </c>
      <c r="B302" t="s">
        <v>778</v>
      </c>
      <c r="C302" t="s">
        <v>756</v>
      </c>
      <c r="D302">
        <v>2.0499999999999998</v>
      </c>
      <c r="E302">
        <v>2.38</v>
      </c>
      <c r="F302">
        <v>4.18</v>
      </c>
      <c r="G302">
        <v>6</v>
      </c>
      <c r="H302">
        <v>64</v>
      </c>
      <c r="I302">
        <v>1</v>
      </c>
      <c r="J302">
        <v>8</v>
      </c>
      <c r="K302" t="s">
        <v>344</v>
      </c>
      <c r="L302">
        <v>503</v>
      </c>
      <c r="M302">
        <v>217</v>
      </c>
      <c r="N302" s="1">
        <f t="shared" si="8"/>
        <v>0.56858846918489059</v>
      </c>
      <c r="O302" s="1">
        <f t="shared" si="9"/>
        <v>0.43141153081510936</v>
      </c>
    </row>
    <row r="303" spans="1:15" x14ac:dyDescent="0.25">
      <c r="A303" t="s">
        <v>779</v>
      </c>
      <c r="B303" t="s">
        <v>780</v>
      </c>
      <c r="C303" t="s">
        <v>756</v>
      </c>
      <c r="D303">
        <v>2.0499999999999998</v>
      </c>
      <c r="E303">
        <v>2.38</v>
      </c>
      <c r="F303">
        <v>4.18</v>
      </c>
      <c r="G303">
        <v>6</v>
      </c>
      <c r="H303">
        <v>64</v>
      </c>
      <c r="I303">
        <v>1</v>
      </c>
      <c r="J303">
        <v>8</v>
      </c>
      <c r="K303" t="s">
        <v>344</v>
      </c>
      <c r="L303">
        <v>503</v>
      </c>
      <c r="M303">
        <v>217</v>
      </c>
      <c r="N303" s="1">
        <f t="shared" si="8"/>
        <v>0.56858846918489059</v>
      </c>
      <c r="O303" s="1">
        <f t="shared" si="9"/>
        <v>0.43141153081510936</v>
      </c>
    </row>
    <row r="304" spans="1:15" x14ac:dyDescent="0.25">
      <c r="A304" t="s">
        <v>781</v>
      </c>
      <c r="B304" t="s">
        <v>782</v>
      </c>
      <c r="C304" t="s">
        <v>756</v>
      </c>
      <c r="D304">
        <v>2.0499999999999998</v>
      </c>
      <c r="E304">
        <v>2.38</v>
      </c>
      <c r="F304">
        <v>4.18</v>
      </c>
      <c r="G304">
        <v>6</v>
      </c>
      <c r="H304">
        <v>64</v>
      </c>
      <c r="I304">
        <v>1</v>
      </c>
      <c r="J304">
        <v>8</v>
      </c>
      <c r="K304" t="s">
        <v>344</v>
      </c>
      <c r="L304">
        <v>503</v>
      </c>
      <c r="M304">
        <v>217</v>
      </c>
      <c r="N304" s="1">
        <f t="shared" si="8"/>
        <v>0.56858846918489059</v>
      </c>
      <c r="O304" s="1">
        <f t="shared" si="9"/>
        <v>0.43141153081510936</v>
      </c>
    </row>
    <row r="305" spans="1:15" x14ac:dyDescent="0.25">
      <c r="A305" t="s">
        <v>783</v>
      </c>
      <c r="B305" t="s">
        <v>784</v>
      </c>
      <c r="C305" t="s">
        <v>756</v>
      </c>
      <c r="D305">
        <v>2.0499999999999998</v>
      </c>
      <c r="E305">
        <v>2.39</v>
      </c>
      <c r="F305">
        <v>4.18</v>
      </c>
      <c r="G305">
        <v>6</v>
      </c>
      <c r="H305">
        <v>64</v>
      </c>
      <c r="I305">
        <v>1</v>
      </c>
      <c r="J305">
        <v>8</v>
      </c>
      <c r="K305" t="s">
        <v>344</v>
      </c>
      <c r="L305">
        <v>503</v>
      </c>
      <c r="M305">
        <v>217</v>
      </c>
      <c r="N305" s="1">
        <f t="shared" si="8"/>
        <v>0.56858846918489059</v>
      </c>
      <c r="O305" s="1">
        <f t="shared" si="9"/>
        <v>0.43141153081510936</v>
      </c>
    </row>
    <row r="306" spans="1:15" x14ac:dyDescent="0.25">
      <c r="A306" t="s">
        <v>785</v>
      </c>
      <c r="B306" t="s">
        <v>786</v>
      </c>
      <c r="C306" t="s">
        <v>756</v>
      </c>
      <c r="D306">
        <v>2.0499999999999998</v>
      </c>
      <c r="E306">
        <v>2.39</v>
      </c>
      <c r="F306">
        <v>4.18</v>
      </c>
      <c r="G306">
        <v>6</v>
      </c>
      <c r="H306">
        <v>64</v>
      </c>
      <c r="I306">
        <v>1</v>
      </c>
      <c r="J306">
        <v>8</v>
      </c>
      <c r="K306" t="s">
        <v>344</v>
      </c>
      <c r="L306">
        <v>503</v>
      </c>
      <c r="M306">
        <v>217</v>
      </c>
      <c r="N306" s="1">
        <f t="shared" si="8"/>
        <v>0.56858846918489059</v>
      </c>
      <c r="O306" s="1">
        <f t="shared" si="9"/>
        <v>0.43141153081510936</v>
      </c>
    </row>
    <row r="307" spans="1:15" x14ac:dyDescent="0.25">
      <c r="A307" t="s">
        <v>787</v>
      </c>
      <c r="B307" t="s">
        <v>788</v>
      </c>
      <c r="C307" t="s">
        <v>756</v>
      </c>
      <c r="D307">
        <v>2.0499999999999998</v>
      </c>
      <c r="E307">
        <v>2.38</v>
      </c>
      <c r="F307">
        <v>4.18</v>
      </c>
      <c r="G307">
        <v>6</v>
      </c>
      <c r="H307">
        <v>64</v>
      </c>
      <c r="I307">
        <v>1</v>
      </c>
      <c r="J307">
        <v>8</v>
      </c>
      <c r="K307" t="s">
        <v>344</v>
      </c>
      <c r="L307">
        <v>503</v>
      </c>
      <c r="M307">
        <v>217</v>
      </c>
      <c r="N307" s="1">
        <f t="shared" si="8"/>
        <v>0.56858846918489059</v>
      </c>
      <c r="O307" s="1">
        <f t="shared" si="9"/>
        <v>0.43141153081510936</v>
      </c>
    </row>
    <row r="308" spans="1:15" x14ac:dyDescent="0.25">
      <c r="A308" t="s">
        <v>789</v>
      </c>
      <c r="B308" t="s">
        <v>790</v>
      </c>
      <c r="C308" t="s">
        <v>756</v>
      </c>
      <c r="D308">
        <v>2.0499999999999998</v>
      </c>
      <c r="E308">
        <v>2.39</v>
      </c>
      <c r="F308">
        <v>4.18</v>
      </c>
      <c r="G308">
        <v>6</v>
      </c>
      <c r="H308">
        <v>64</v>
      </c>
      <c r="I308">
        <v>1</v>
      </c>
      <c r="J308">
        <v>8</v>
      </c>
      <c r="K308" t="s">
        <v>344</v>
      </c>
      <c r="L308">
        <v>503</v>
      </c>
      <c r="M308">
        <v>217</v>
      </c>
      <c r="N308" s="1">
        <f t="shared" si="8"/>
        <v>0.56858846918489059</v>
      </c>
      <c r="O308" s="1">
        <f t="shared" si="9"/>
        <v>0.43141153081510936</v>
      </c>
    </row>
    <row r="309" spans="1:15" x14ac:dyDescent="0.25">
      <c r="A309" t="s">
        <v>791</v>
      </c>
      <c r="B309" t="s">
        <v>792</v>
      </c>
      <c r="C309" t="s">
        <v>756</v>
      </c>
      <c r="D309">
        <v>2.0499999999999998</v>
      </c>
      <c r="E309">
        <v>2.39</v>
      </c>
      <c r="F309">
        <v>4.18</v>
      </c>
      <c r="G309">
        <v>6</v>
      </c>
      <c r="H309">
        <v>64</v>
      </c>
      <c r="I309">
        <v>1</v>
      </c>
      <c r="J309">
        <v>8</v>
      </c>
      <c r="K309" t="s">
        <v>344</v>
      </c>
      <c r="L309">
        <v>503</v>
      </c>
      <c r="M309">
        <v>217</v>
      </c>
      <c r="N309" s="1">
        <f t="shared" si="8"/>
        <v>0.56858846918489059</v>
      </c>
      <c r="O309" s="1">
        <f t="shared" si="9"/>
        <v>0.43141153081510936</v>
      </c>
    </row>
    <row r="310" spans="1:15" x14ac:dyDescent="0.25">
      <c r="A310" t="s">
        <v>793</v>
      </c>
      <c r="B310" t="s">
        <v>794</v>
      </c>
      <c r="C310" t="s">
        <v>756</v>
      </c>
      <c r="D310">
        <v>2.0499999999999998</v>
      </c>
      <c r="E310">
        <v>2.38</v>
      </c>
      <c r="F310">
        <v>4.18</v>
      </c>
      <c r="G310">
        <v>6</v>
      </c>
      <c r="H310">
        <v>64</v>
      </c>
      <c r="I310">
        <v>1</v>
      </c>
      <c r="J310">
        <v>8</v>
      </c>
      <c r="K310" t="s">
        <v>344</v>
      </c>
      <c r="L310">
        <v>503</v>
      </c>
      <c r="M310">
        <v>217</v>
      </c>
      <c r="N310" s="1">
        <f t="shared" si="8"/>
        <v>0.56858846918489059</v>
      </c>
      <c r="O310" s="1">
        <f t="shared" si="9"/>
        <v>0.43141153081510936</v>
      </c>
    </row>
    <row r="311" spans="1:15" x14ac:dyDescent="0.25">
      <c r="A311" t="s">
        <v>795</v>
      </c>
      <c r="B311" t="s">
        <v>796</v>
      </c>
      <c r="C311" t="s">
        <v>756</v>
      </c>
      <c r="D311">
        <v>2.0499999999999998</v>
      </c>
      <c r="E311">
        <v>2.39</v>
      </c>
      <c r="F311">
        <v>4.18</v>
      </c>
      <c r="G311">
        <v>6</v>
      </c>
      <c r="H311">
        <v>64</v>
      </c>
      <c r="I311">
        <v>1</v>
      </c>
      <c r="J311">
        <v>8</v>
      </c>
      <c r="K311" t="s">
        <v>344</v>
      </c>
      <c r="L311">
        <v>503</v>
      </c>
      <c r="M311">
        <v>217</v>
      </c>
      <c r="N311" s="1">
        <f t="shared" si="8"/>
        <v>0.56858846918489059</v>
      </c>
      <c r="O311" s="1">
        <f t="shared" si="9"/>
        <v>0.43141153081510936</v>
      </c>
    </row>
    <row r="312" spans="1:15" x14ac:dyDescent="0.25">
      <c r="A312" t="s">
        <v>797</v>
      </c>
      <c r="B312" t="s">
        <v>798</v>
      </c>
      <c r="C312" t="s">
        <v>756</v>
      </c>
      <c r="D312">
        <v>2.0499999999999998</v>
      </c>
      <c r="E312">
        <v>2.39</v>
      </c>
      <c r="F312">
        <v>4.18</v>
      </c>
      <c r="G312">
        <v>6</v>
      </c>
      <c r="H312">
        <v>64</v>
      </c>
      <c r="I312">
        <v>1</v>
      </c>
      <c r="J312">
        <v>8</v>
      </c>
      <c r="K312" t="s">
        <v>344</v>
      </c>
      <c r="L312">
        <v>503</v>
      </c>
      <c r="M312">
        <v>217</v>
      </c>
      <c r="N312" s="1">
        <f t="shared" si="8"/>
        <v>0.56858846918489059</v>
      </c>
      <c r="O312" s="1">
        <f t="shared" si="9"/>
        <v>0.43141153081510936</v>
      </c>
    </row>
    <row r="313" spans="1:15" x14ac:dyDescent="0.25">
      <c r="A313" t="s">
        <v>799</v>
      </c>
      <c r="B313" t="s">
        <v>800</v>
      </c>
      <c r="C313" t="s">
        <v>756</v>
      </c>
      <c r="D313">
        <v>2.0499999999999998</v>
      </c>
      <c r="E313">
        <v>2.38</v>
      </c>
      <c r="F313">
        <v>4.18</v>
      </c>
      <c r="G313">
        <v>6</v>
      </c>
      <c r="H313">
        <v>64</v>
      </c>
      <c r="I313">
        <v>1</v>
      </c>
      <c r="J313">
        <v>8</v>
      </c>
      <c r="K313" t="s">
        <v>344</v>
      </c>
      <c r="L313">
        <v>503</v>
      </c>
      <c r="M313">
        <v>217</v>
      </c>
      <c r="N313" s="1">
        <f t="shared" si="8"/>
        <v>0.56858846918489059</v>
      </c>
      <c r="O313" s="1">
        <f t="shared" si="9"/>
        <v>0.43141153081510936</v>
      </c>
    </row>
    <row r="314" spans="1:15" x14ac:dyDescent="0.25">
      <c r="A314" t="s">
        <v>801</v>
      </c>
      <c r="B314" t="s">
        <v>802</v>
      </c>
      <c r="C314" t="s">
        <v>756</v>
      </c>
      <c r="D314">
        <v>2.0499999999999998</v>
      </c>
      <c r="E314">
        <v>2.38</v>
      </c>
      <c r="F314">
        <v>4.18</v>
      </c>
      <c r="G314">
        <v>6</v>
      </c>
      <c r="H314">
        <v>64</v>
      </c>
      <c r="I314">
        <v>1</v>
      </c>
      <c r="J314">
        <v>8</v>
      </c>
      <c r="K314" t="s">
        <v>344</v>
      </c>
      <c r="L314">
        <v>503</v>
      </c>
      <c r="M314">
        <v>217</v>
      </c>
      <c r="N314" s="1">
        <f t="shared" si="8"/>
        <v>0.56858846918489059</v>
      </c>
      <c r="O314" s="1">
        <f t="shared" si="9"/>
        <v>0.43141153081510936</v>
      </c>
    </row>
    <row r="315" spans="1:15" x14ac:dyDescent="0.25">
      <c r="A315" t="s">
        <v>803</v>
      </c>
      <c r="B315" t="s">
        <v>804</v>
      </c>
      <c r="C315" t="s">
        <v>767</v>
      </c>
      <c r="D315">
        <v>2.02</v>
      </c>
      <c r="E315">
        <v>3.96</v>
      </c>
      <c r="F315">
        <v>4.1100000000000003</v>
      </c>
      <c r="G315">
        <v>5.5</v>
      </c>
      <c r="H315">
        <v>73.5</v>
      </c>
      <c r="I315">
        <v>2</v>
      </c>
      <c r="J315">
        <v>0</v>
      </c>
      <c r="K315" t="s">
        <v>344</v>
      </c>
      <c r="L315">
        <v>503</v>
      </c>
      <c r="M315">
        <v>220</v>
      </c>
      <c r="N315" s="1">
        <f t="shared" si="8"/>
        <v>0.562624254473161</v>
      </c>
      <c r="O315" s="1">
        <f t="shared" si="9"/>
        <v>0.43737574552683894</v>
      </c>
    </row>
    <row r="316" spans="1:15" x14ac:dyDescent="0.25">
      <c r="A316" t="s">
        <v>805</v>
      </c>
      <c r="B316" t="s">
        <v>806</v>
      </c>
      <c r="C316" t="s">
        <v>807</v>
      </c>
      <c r="D316">
        <v>2</v>
      </c>
      <c r="E316">
        <v>2.21</v>
      </c>
      <c r="F316">
        <v>4.08</v>
      </c>
      <c r="G316">
        <v>9.58</v>
      </c>
      <c r="H316">
        <v>87.79</v>
      </c>
      <c r="I316">
        <v>1.05</v>
      </c>
      <c r="J316">
        <v>0</v>
      </c>
      <c r="K316" t="s">
        <v>344</v>
      </c>
      <c r="L316">
        <v>503</v>
      </c>
      <c r="M316">
        <v>220</v>
      </c>
      <c r="N316" s="1">
        <f t="shared" si="8"/>
        <v>0.562624254473161</v>
      </c>
      <c r="O316" s="1">
        <f t="shared" si="9"/>
        <v>0.43737574552683894</v>
      </c>
    </row>
    <row r="317" spans="1:15" x14ac:dyDescent="0.25">
      <c r="A317" t="s">
        <v>808</v>
      </c>
      <c r="B317" t="s">
        <v>809</v>
      </c>
      <c r="C317" t="s">
        <v>810</v>
      </c>
      <c r="D317">
        <v>2</v>
      </c>
      <c r="E317">
        <v>3.16</v>
      </c>
      <c r="F317">
        <v>4.08</v>
      </c>
      <c r="G317">
        <v>7.49</v>
      </c>
      <c r="H317">
        <v>90.19</v>
      </c>
      <c r="I317">
        <v>1.1000000000000001</v>
      </c>
      <c r="J317">
        <v>0</v>
      </c>
      <c r="K317" t="s">
        <v>344</v>
      </c>
      <c r="L317">
        <v>503</v>
      </c>
      <c r="M317">
        <v>220</v>
      </c>
      <c r="N317" s="1">
        <f t="shared" si="8"/>
        <v>0.562624254473161</v>
      </c>
      <c r="O317" s="1">
        <f t="shared" si="9"/>
        <v>0.43737574552683894</v>
      </c>
    </row>
    <row r="318" spans="1:15" x14ac:dyDescent="0.25">
      <c r="A318" t="s">
        <v>811</v>
      </c>
      <c r="B318" t="s">
        <v>812</v>
      </c>
      <c r="C318" t="s">
        <v>810</v>
      </c>
      <c r="D318">
        <v>2</v>
      </c>
      <c r="E318">
        <v>3.17</v>
      </c>
      <c r="F318">
        <v>4.08</v>
      </c>
      <c r="G318">
        <v>7.49</v>
      </c>
      <c r="H318">
        <v>90.19</v>
      </c>
      <c r="I318">
        <v>1.1000000000000001</v>
      </c>
      <c r="J318">
        <v>0</v>
      </c>
      <c r="K318" t="s">
        <v>344</v>
      </c>
      <c r="L318">
        <v>503</v>
      </c>
      <c r="M318">
        <v>220</v>
      </c>
      <c r="N318" s="1">
        <f t="shared" si="8"/>
        <v>0.562624254473161</v>
      </c>
      <c r="O318" s="1">
        <f t="shared" si="9"/>
        <v>0.43737574552683894</v>
      </c>
    </row>
    <row r="319" spans="1:15" x14ac:dyDescent="0.25">
      <c r="A319" t="s">
        <v>813</v>
      </c>
      <c r="B319" t="s">
        <v>814</v>
      </c>
      <c r="C319" t="s">
        <v>810</v>
      </c>
      <c r="D319">
        <v>2</v>
      </c>
      <c r="E319">
        <v>3.16</v>
      </c>
      <c r="F319">
        <v>4.08</v>
      </c>
      <c r="G319">
        <v>7.49</v>
      </c>
      <c r="H319">
        <v>90.19</v>
      </c>
      <c r="I319">
        <v>1.1000000000000001</v>
      </c>
      <c r="J319">
        <v>0</v>
      </c>
      <c r="K319" t="s">
        <v>344</v>
      </c>
      <c r="L319">
        <v>503</v>
      </c>
      <c r="M319">
        <v>220</v>
      </c>
      <c r="N319" s="1">
        <f t="shared" si="8"/>
        <v>0.562624254473161</v>
      </c>
      <c r="O319" s="1">
        <f t="shared" si="9"/>
        <v>0.43737574552683894</v>
      </c>
    </row>
    <row r="320" spans="1:15" x14ac:dyDescent="0.25">
      <c r="A320" t="s">
        <v>815</v>
      </c>
      <c r="B320" t="s">
        <v>816</v>
      </c>
      <c r="C320" t="s">
        <v>717</v>
      </c>
      <c r="D320">
        <v>2</v>
      </c>
      <c r="E320">
        <v>1.26</v>
      </c>
      <c r="F320">
        <v>4.07</v>
      </c>
      <c r="G320">
        <v>3.9</v>
      </c>
      <c r="H320">
        <v>88.02</v>
      </c>
      <c r="I320">
        <v>0.95</v>
      </c>
      <c r="J320">
        <v>8.15</v>
      </c>
      <c r="K320" t="s">
        <v>344</v>
      </c>
      <c r="L320">
        <v>503</v>
      </c>
      <c r="M320">
        <v>221</v>
      </c>
      <c r="N320" s="1">
        <f t="shared" si="8"/>
        <v>0.56063618290258455</v>
      </c>
      <c r="O320" s="1">
        <f t="shared" si="9"/>
        <v>0.43936381709741551</v>
      </c>
    </row>
    <row r="321" spans="1:15" x14ac:dyDescent="0.25">
      <c r="A321" t="s">
        <v>817</v>
      </c>
      <c r="B321" t="s">
        <v>818</v>
      </c>
      <c r="C321" t="s">
        <v>669</v>
      </c>
      <c r="D321">
        <v>1.99</v>
      </c>
      <c r="E321">
        <v>1.78</v>
      </c>
      <c r="F321">
        <v>4.05</v>
      </c>
      <c r="G321">
        <v>0</v>
      </c>
      <c r="H321">
        <v>98</v>
      </c>
      <c r="I321">
        <v>2</v>
      </c>
      <c r="J321">
        <v>0</v>
      </c>
      <c r="K321" t="s">
        <v>344</v>
      </c>
      <c r="L321">
        <v>503</v>
      </c>
      <c r="M321">
        <v>221</v>
      </c>
      <c r="N321" s="1">
        <f t="shared" si="8"/>
        <v>0.56063618290258455</v>
      </c>
      <c r="O321" s="1">
        <f t="shared" si="9"/>
        <v>0.43936381709741551</v>
      </c>
    </row>
    <row r="322" spans="1:15" x14ac:dyDescent="0.25">
      <c r="A322" t="s">
        <v>819</v>
      </c>
      <c r="B322" t="s">
        <v>820</v>
      </c>
      <c r="C322" t="s">
        <v>301</v>
      </c>
      <c r="D322">
        <v>1.98</v>
      </c>
      <c r="E322">
        <v>2.14</v>
      </c>
      <c r="F322">
        <v>4.04</v>
      </c>
      <c r="G322">
        <v>17.38</v>
      </c>
      <c r="H322">
        <v>78.59</v>
      </c>
      <c r="I322">
        <v>1.89</v>
      </c>
      <c r="J322">
        <v>4.54</v>
      </c>
      <c r="K322" t="s">
        <v>344</v>
      </c>
      <c r="L322">
        <v>503</v>
      </c>
      <c r="M322">
        <v>221</v>
      </c>
      <c r="N322" s="1">
        <f t="shared" ref="N322:N385" si="10">1-O322</f>
        <v>0.56063618290258455</v>
      </c>
      <c r="O322" s="1">
        <f t="shared" ref="O322:O385" si="11">M322/L322</f>
        <v>0.43936381709741551</v>
      </c>
    </row>
    <row r="323" spans="1:15" x14ac:dyDescent="0.25">
      <c r="A323" t="s">
        <v>821</v>
      </c>
      <c r="B323" t="s">
        <v>822</v>
      </c>
      <c r="C323" t="s">
        <v>823</v>
      </c>
      <c r="D323">
        <v>1.98</v>
      </c>
      <c r="E323">
        <v>1.67</v>
      </c>
      <c r="F323">
        <v>4.03</v>
      </c>
      <c r="G323">
        <v>2.5</v>
      </c>
      <c r="H323">
        <v>81</v>
      </c>
      <c r="I323">
        <v>2</v>
      </c>
      <c r="J323">
        <v>0</v>
      </c>
      <c r="K323" t="s">
        <v>344</v>
      </c>
      <c r="L323">
        <v>503</v>
      </c>
      <c r="M323">
        <v>221</v>
      </c>
      <c r="N323" s="1">
        <f t="shared" si="10"/>
        <v>0.56063618290258455</v>
      </c>
      <c r="O323" s="1">
        <f t="shared" si="11"/>
        <v>0.43936381709741551</v>
      </c>
    </row>
    <row r="324" spans="1:15" x14ac:dyDescent="0.25">
      <c r="A324" t="s">
        <v>824</v>
      </c>
      <c r="B324" t="s">
        <v>825</v>
      </c>
      <c r="C324" t="s">
        <v>826</v>
      </c>
      <c r="D324">
        <v>1.94</v>
      </c>
      <c r="E324">
        <v>2.35</v>
      </c>
      <c r="F324">
        <v>3.95</v>
      </c>
      <c r="G324">
        <v>0</v>
      </c>
      <c r="H324">
        <v>90</v>
      </c>
      <c r="I324">
        <v>10</v>
      </c>
      <c r="J324">
        <v>0</v>
      </c>
      <c r="K324" t="s">
        <v>344</v>
      </c>
      <c r="L324">
        <v>503</v>
      </c>
      <c r="M324">
        <v>224</v>
      </c>
      <c r="N324" s="1">
        <f t="shared" si="10"/>
        <v>0.55467196819085485</v>
      </c>
      <c r="O324" s="1">
        <f t="shared" si="11"/>
        <v>0.44532803180914515</v>
      </c>
    </row>
    <row r="325" spans="1:15" x14ac:dyDescent="0.25">
      <c r="A325" t="s">
        <v>827</v>
      </c>
      <c r="B325" t="s">
        <v>828</v>
      </c>
      <c r="C325" t="s">
        <v>829</v>
      </c>
      <c r="D325">
        <v>1.94</v>
      </c>
      <c r="E325">
        <v>2.58</v>
      </c>
      <c r="F325">
        <v>3.95</v>
      </c>
      <c r="G325">
        <v>5</v>
      </c>
      <c r="H325">
        <v>78</v>
      </c>
      <c r="I325">
        <v>2</v>
      </c>
      <c r="J325">
        <v>1</v>
      </c>
      <c r="K325" t="s">
        <v>344</v>
      </c>
      <c r="L325">
        <v>503</v>
      </c>
      <c r="M325">
        <v>224</v>
      </c>
      <c r="N325" s="1">
        <f t="shared" si="10"/>
        <v>0.55467196819085485</v>
      </c>
      <c r="O325" s="1">
        <f t="shared" si="11"/>
        <v>0.44532803180914515</v>
      </c>
    </row>
    <row r="326" spans="1:15" x14ac:dyDescent="0.25">
      <c r="A326" t="s">
        <v>830</v>
      </c>
      <c r="B326" t="s">
        <v>831</v>
      </c>
      <c r="C326" t="s">
        <v>832</v>
      </c>
      <c r="D326">
        <v>1.94</v>
      </c>
      <c r="E326">
        <v>1.87</v>
      </c>
      <c r="F326">
        <v>3.94</v>
      </c>
      <c r="G326">
        <v>2</v>
      </c>
      <c r="H326">
        <v>94</v>
      </c>
      <c r="I326">
        <v>1</v>
      </c>
      <c r="J326">
        <v>0</v>
      </c>
      <c r="K326" t="s">
        <v>344</v>
      </c>
      <c r="L326">
        <v>503</v>
      </c>
      <c r="M326">
        <v>225</v>
      </c>
      <c r="N326" s="1">
        <f t="shared" si="10"/>
        <v>0.55268389662027828</v>
      </c>
      <c r="O326" s="1">
        <f t="shared" si="11"/>
        <v>0.44731610337972166</v>
      </c>
    </row>
    <row r="327" spans="1:15" x14ac:dyDescent="0.25">
      <c r="A327" t="s">
        <v>833</v>
      </c>
      <c r="B327" t="s">
        <v>834</v>
      </c>
      <c r="C327" t="s">
        <v>835</v>
      </c>
      <c r="D327">
        <v>1.92</v>
      </c>
      <c r="E327">
        <v>1.68</v>
      </c>
      <c r="F327">
        <v>3.91</v>
      </c>
      <c r="G327">
        <v>15</v>
      </c>
      <c r="H327">
        <v>84</v>
      </c>
      <c r="I327">
        <v>1</v>
      </c>
      <c r="J327">
        <v>0</v>
      </c>
      <c r="K327" t="s">
        <v>344</v>
      </c>
      <c r="L327">
        <v>503</v>
      </c>
      <c r="M327">
        <v>226</v>
      </c>
      <c r="N327" s="1">
        <f t="shared" si="10"/>
        <v>0.55069582504970183</v>
      </c>
      <c r="O327" s="1">
        <f t="shared" si="11"/>
        <v>0.44930417495029823</v>
      </c>
    </row>
    <row r="328" spans="1:15" x14ac:dyDescent="0.25">
      <c r="A328" t="s">
        <v>836</v>
      </c>
      <c r="B328" t="s">
        <v>837</v>
      </c>
      <c r="C328" t="s">
        <v>838</v>
      </c>
      <c r="D328">
        <v>1.89</v>
      </c>
      <c r="E328">
        <v>3.26</v>
      </c>
      <c r="F328">
        <v>3.85</v>
      </c>
      <c r="G328">
        <v>10.48</v>
      </c>
      <c r="H328">
        <v>85.75</v>
      </c>
      <c r="I328">
        <v>1</v>
      </c>
      <c r="J328">
        <v>0</v>
      </c>
      <c r="K328" t="s">
        <v>344</v>
      </c>
      <c r="L328">
        <v>503</v>
      </c>
      <c r="M328">
        <v>230</v>
      </c>
      <c r="N328" s="1">
        <f t="shared" si="10"/>
        <v>0.54274353876739556</v>
      </c>
      <c r="O328" s="1">
        <f t="shared" si="11"/>
        <v>0.45725646123260438</v>
      </c>
    </row>
    <row r="329" spans="1:15" x14ac:dyDescent="0.25">
      <c r="A329" t="s">
        <v>839</v>
      </c>
      <c r="B329" t="s">
        <v>840</v>
      </c>
      <c r="C329" t="s">
        <v>841</v>
      </c>
      <c r="D329">
        <v>1.89</v>
      </c>
      <c r="E329">
        <v>2.2000000000000002</v>
      </c>
      <c r="F329">
        <v>3.85</v>
      </c>
      <c r="G329">
        <v>9</v>
      </c>
      <c r="H329">
        <v>81</v>
      </c>
      <c r="I329">
        <v>10</v>
      </c>
      <c r="J329">
        <v>0</v>
      </c>
      <c r="K329" t="s">
        <v>344</v>
      </c>
      <c r="L329">
        <v>503</v>
      </c>
      <c r="M329">
        <v>230</v>
      </c>
      <c r="N329" s="1">
        <f t="shared" si="10"/>
        <v>0.54274353876739556</v>
      </c>
      <c r="O329" s="1">
        <f t="shared" si="11"/>
        <v>0.45725646123260438</v>
      </c>
    </row>
    <row r="330" spans="1:15" x14ac:dyDescent="0.25">
      <c r="A330" t="s">
        <v>842</v>
      </c>
      <c r="B330" t="s">
        <v>843</v>
      </c>
      <c r="C330" t="s">
        <v>844</v>
      </c>
      <c r="D330">
        <v>1.88</v>
      </c>
      <c r="E330">
        <v>1.68</v>
      </c>
      <c r="F330">
        <v>3.83</v>
      </c>
      <c r="G330">
        <v>6</v>
      </c>
      <c r="H330">
        <v>86.35</v>
      </c>
      <c r="I330">
        <v>2</v>
      </c>
      <c r="J330">
        <v>0</v>
      </c>
      <c r="K330" t="s">
        <v>344</v>
      </c>
      <c r="L330">
        <v>503</v>
      </c>
      <c r="M330">
        <v>234</v>
      </c>
      <c r="N330" s="1">
        <f t="shared" si="10"/>
        <v>0.53479125248508952</v>
      </c>
      <c r="O330" s="1">
        <f t="shared" si="11"/>
        <v>0.46520874751491054</v>
      </c>
    </row>
    <row r="331" spans="1:15" x14ac:dyDescent="0.25">
      <c r="A331" t="s">
        <v>845</v>
      </c>
      <c r="B331" t="s">
        <v>846</v>
      </c>
      <c r="C331" t="s">
        <v>847</v>
      </c>
      <c r="D331">
        <v>1.86</v>
      </c>
      <c r="E331">
        <v>3.27</v>
      </c>
      <c r="F331">
        <v>3.8</v>
      </c>
      <c r="G331">
        <v>0</v>
      </c>
      <c r="H331">
        <v>44</v>
      </c>
      <c r="I331">
        <v>2</v>
      </c>
      <c r="J331">
        <v>0</v>
      </c>
      <c r="K331" t="s">
        <v>344</v>
      </c>
      <c r="L331">
        <v>503</v>
      </c>
      <c r="M331">
        <v>236</v>
      </c>
      <c r="N331" s="1">
        <f t="shared" si="10"/>
        <v>0.53081510934393639</v>
      </c>
      <c r="O331" s="1">
        <f t="shared" si="11"/>
        <v>0.46918489065606361</v>
      </c>
    </row>
    <row r="332" spans="1:15" x14ac:dyDescent="0.25">
      <c r="A332" t="s">
        <v>848</v>
      </c>
      <c r="B332" t="s">
        <v>849</v>
      </c>
      <c r="C332" t="s">
        <v>847</v>
      </c>
      <c r="D332">
        <v>1.86</v>
      </c>
      <c r="E332">
        <v>3.26</v>
      </c>
      <c r="F332">
        <v>3.8</v>
      </c>
      <c r="G332">
        <v>0</v>
      </c>
      <c r="H332">
        <v>44</v>
      </c>
      <c r="I332">
        <v>2</v>
      </c>
      <c r="J332">
        <v>0</v>
      </c>
      <c r="K332" t="s">
        <v>344</v>
      </c>
      <c r="L332">
        <v>503</v>
      </c>
      <c r="M332">
        <v>236</v>
      </c>
      <c r="N332" s="1">
        <f t="shared" si="10"/>
        <v>0.53081510934393639</v>
      </c>
      <c r="O332" s="1">
        <f t="shared" si="11"/>
        <v>0.46918489065606361</v>
      </c>
    </row>
    <row r="333" spans="1:15" x14ac:dyDescent="0.25">
      <c r="A333" t="s">
        <v>850</v>
      </c>
      <c r="B333" t="s">
        <v>851</v>
      </c>
      <c r="C333" t="s">
        <v>847</v>
      </c>
      <c r="D333">
        <v>1.86</v>
      </c>
      <c r="E333">
        <v>3.27</v>
      </c>
      <c r="F333">
        <v>3.8</v>
      </c>
      <c r="G333">
        <v>0</v>
      </c>
      <c r="H333">
        <v>44</v>
      </c>
      <c r="I333">
        <v>2</v>
      </c>
      <c r="J333">
        <v>0</v>
      </c>
      <c r="K333" t="s">
        <v>344</v>
      </c>
      <c r="L333">
        <v>503</v>
      </c>
      <c r="M333">
        <v>236</v>
      </c>
      <c r="N333" s="1">
        <f t="shared" si="10"/>
        <v>0.53081510934393639</v>
      </c>
      <c r="O333" s="1">
        <f t="shared" si="11"/>
        <v>0.46918489065606361</v>
      </c>
    </row>
    <row r="334" spans="1:15" x14ac:dyDescent="0.25">
      <c r="A334" t="s">
        <v>852</v>
      </c>
      <c r="B334" t="s">
        <v>853</v>
      </c>
      <c r="C334" t="s">
        <v>854</v>
      </c>
      <c r="D334">
        <v>1.86</v>
      </c>
      <c r="E334">
        <v>3.27</v>
      </c>
      <c r="F334">
        <v>3.8</v>
      </c>
      <c r="G334">
        <v>0</v>
      </c>
      <c r="H334">
        <v>44</v>
      </c>
      <c r="I334">
        <v>2</v>
      </c>
      <c r="J334">
        <v>0</v>
      </c>
      <c r="K334" t="s">
        <v>344</v>
      </c>
      <c r="L334">
        <v>503</v>
      </c>
      <c r="M334">
        <v>236</v>
      </c>
      <c r="N334" s="1">
        <f t="shared" si="10"/>
        <v>0.53081510934393639</v>
      </c>
      <c r="O334" s="1">
        <f t="shared" si="11"/>
        <v>0.46918489065606361</v>
      </c>
    </row>
    <row r="335" spans="1:15" x14ac:dyDescent="0.25">
      <c r="A335" t="s">
        <v>855</v>
      </c>
      <c r="B335" t="s">
        <v>856</v>
      </c>
      <c r="C335" t="s">
        <v>857</v>
      </c>
      <c r="D335">
        <v>1.86</v>
      </c>
      <c r="E335">
        <v>4.96</v>
      </c>
      <c r="F335">
        <v>3.79</v>
      </c>
      <c r="G335">
        <v>18.05</v>
      </c>
      <c r="H335">
        <v>37.200000000000003</v>
      </c>
      <c r="I335">
        <v>1.5</v>
      </c>
      <c r="J335">
        <v>8.2100000000000009</v>
      </c>
      <c r="K335" t="s">
        <v>344</v>
      </c>
      <c r="L335">
        <v>503</v>
      </c>
      <c r="M335">
        <v>237</v>
      </c>
      <c r="N335" s="1">
        <f t="shared" si="10"/>
        <v>0.52882703777335982</v>
      </c>
      <c r="O335" s="1">
        <f t="shared" si="11"/>
        <v>0.47117296222664018</v>
      </c>
    </row>
    <row r="336" spans="1:15" x14ac:dyDescent="0.25">
      <c r="A336" t="s">
        <v>858</v>
      </c>
      <c r="B336" t="s">
        <v>859</v>
      </c>
      <c r="C336" t="s">
        <v>860</v>
      </c>
      <c r="D336">
        <v>1.86</v>
      </c>
      <c r="E336">
        <v>3.41</v>
      </c>
      <c r="F336">
        <v>3.78</v>
      </c>
      <c r="G336">
        <v>0</v>
      </c>
      <c r="H336">
        <v>84</v>
      </c>
      <c r="I336">
        <v>1</v>
      </c>
      <c r="J336">
        <v>0</v>
      </c>
      <c r="K336" t="s">
        <v>344</v>
      </c>
      <c r="L336">
        <v>503</v>
      </c>
      <c r="M336">
        <v>237</v>
      </c>
      <c r="N336" s="1">
        <f t="shared" si="10"/>
        <v>0.52882703777335982</v>
      </c>
      <c r="O336" s="1">
        <f t="shared" si="11"/>
        <v>0.47117296222664018</v>
      </c>
    </row>
    <row r="337" spans="1:15" x14ac:dyDescent="0.25">
      <c r="A337" t="s">
        <v>861</v>
      </c>
      <c r="B337" t="s">
        <v>862</v>
      </c>
      <c r="C337" t="s">
        <v>539</v>
      </c>
      <c r="D337">
        <v>1.85</v>
      </c>
      <c r="E337">
        <v>2.56</v>
      </c>
      <c r="F337">
        <v>3.77</v>
      </c>
      <c r="G337">
        <v>5.9</v>
      </c>
      <c r="H337">
        <v>73.77</v>
      </c>
      <c r="I337">
        <v>1.25</v>
      </c>
      <c r="J337">
        <v>1.58</v>
      </c>
      <c r="K337" t="s">
        <v>344</v>
      </c>
      <c r="L337">
        <v>503</v>
      </c>
      <c r="M337">
        <v>238</v>
      </c>
      <c r="N337" s="1">
        <f t="shared" si="10"/>
        <v>0.52683896620278325</v>
      </c>
      <c r="O337" s="1">
        <f t="shared" si="11"/>
        <v>0.47316103379721669</v>
      </c>
    </row>
    <row r="338" spans="1:15" x14ac:dyDescent="0.25">
      <c r="A338" t="s">
        <v>863</v>
      </c>
      <c r="B338" t="s">
        <v>864</v>
      </c>
      <c r="C338" t="s">
        <v>567</v>
      </c>
      <c r="D338">
        <v>1.84</v>
      </c>
      <c r="E338">
        <v>2.13</v>
      </c>
      <c r="F338">
        <v>3.74</v>
      </c>
      <c r="G338">
        <v>14.5</v>
      </c>
      <c r="H338">
        <v>68.59</v>
      </c>
      <c r="I338">
        <v>1.86</v>
      </c>
      <c r="J338">
        <v>0</v>
      </c>
      <c r="K338" t="s">
        <v>344</v>
      </c>
      <c r="L338">
        <v>503</v>
      </c>
      <c r="M338">
        <v>239</v>
      </c>
      <c r="N338" s="1">
        <f t="shared" si="10"/>
        <v>0.5248508946322068</v>
      </c>
      <c r="O338" s="1">
        <f t="shared" si="11"/>
        <v>0.47514910536779326</v>
      </c>
    </row>
    <row r="339" spans="1:15" x14ac:dyDescent="0.25">
      <c r="A339" t="s">
        <v>865</v>
      </c>
      <c r="B339" t="s">
        <v>866</v>
      </c>
      <c r="C339" t="s">
        <v>867</v>
      </c>
      <c r="D339">
        <v>1.83</v>
      </c>
      <c r="E339">
        <v>0.56000000000000005</v>
      </c>
      <c r="F339">
        <v>3.73</v>
      </c>
      <c r="G339">
        <v>0</v>
      </c>
      <c r="H339">
        <v>91.01</v>
      </c>
      <c r="I339">
        <v>1.97</v>
      </c>
      <c r="J339">
        <v>0</v>
      </c>
      <c r="K339" t="s">
        <v>344</v>
      </c>
      <c r="L339">
        <v>503</v>
      </c>
      <c r="M339">
        <v>239</v>
      </c>
      <c r="N339" s="1">
        <f t="shared" si="10"/>
        <v>0.5248508946322068</v>
      </c>
      <c r="O339" s="1">
        <f t="shared" si="11"/>
        <v>0.47514910536779326</v>
      </c>
    </row>
    <row r="340" spans="1:15" x14ac:dyDescent="0.25">
      <c r="A340" t="s">
        <v>868</v>
      </c>
      <c r="B340" t="s">
        <v>869</v>
      </c>
      <c r="C340" t="s">
        <v>717</v>
      </c>
      <c r="D340">
        <v>1.82</v>
      </c>
      <c r="E340">
        <v>1.27</v>
      </c>
      <c r="F340">
        <v>3.71</v>
      </c>
      <c r="G340">
        <v>3.41</v>
      </c>
      <c r="H340">
        <v>89.51</v>
      </c>
      <c r="I340">
        <v>0.95</v>
      </c>
      <c r="J340">
        <v>7.67</v>
      </c>
      <c r="K340" t="s">
        <v>344</v>
      </c>
      <c r="L340">
        <v>503</v>
      </c>
      <c r="M340">
        <v>240</v>
      </c>
      <c r="N340" s="1">
        <f t="shared" si="10"/>
        <v>0.52286282306163023</v>
      </c>
      <c r="O340" s="1">
        <f t="shared" si="11"/>
        <v>0.47713717693836977</v>
      </c>
    </row>
    <row r="341" spans="1:15" x14ac:dyDescent="0.25">
      <c r="A341" t="s">
        <v>870</v>
      </c>
      <c r="B341" t="s">
        <v>831</v>
      </c>
      <c r="C341" t="s">
        <v>871</v>
      </c>
      <c r="D341">
        <v>1.8</v>
      </c>
      <c r="E341">
        <v>1.88</v>
      </c>
      <c r="F341">
        <v>3.66</v>
      </c>
      <c r="G341">
        <v>3.6</v>
      </c>
      <c r="H341">
        <v>92.45</v>
      </c>
      <c r="I341">
        <v>0.98</v>
      </c>
      <c r="J341">
        <v>0</v>
      </c>
      <c r="K341" t="s">
        <v>344</v>
      </c>
      <c r="L341">
        <v>503</v>
      </c>
      <c r="M341">
        <v>242</v>
      </c>
      <c r="N341" s="1">
        <f t="shared" si="10"/>
        <v>0.51888667992047721</v>
      </c>
      <c r="O341" s="1">
        <f t="shared" si="11"/>
        <v>0.48111332007952284</v>
      </c>
    </row>
    <row r="342" spans="1:15" x14ac:dyDescent="0.25">
      <c r="A342" t="s">
        <v>872</v>
      </c>
      <c r="B342" t="s">
        <v>873</v>
      </c>
      <c r="D342">
        <v>1.79</v>
      </c>
      <c r="E342">
        <v>0</v>
      </c>
      <c r="F342">
        <v>3.64</v>
      </c>
      <c r="G342">
        <v>6</v>
      </c>
      <c r="H342">
        <v>69</v>
      </c>
      <c r="I342">
        <v>2</v>
      </c>
      <c r="J342">
        <v>0</v>
      </c>
      <c r="K342" t="s">
        <v>344</v>
      </c>
      <c r="L342">
        <v>503</v>
      </c>
      <c r="M342">
        <v>242</v>
      </c>
      <c r="N342" s="1">
        <f t="shared" si="10"/>
        <v>0.51888667992047721</v>
      </c>
      <c r="O342" s="1">
        <f t="shared" si="11"/>
        <v>0.48111332007952284</v>
      </c>
    </row>
    <row r="343" spans="1:15" x14ac:dyDescent="0.25">
      <c r="A343" t="s">
        <v>874</v>
      </c>
      <c r="B343" t="s">
        <v>875</v>
      </c>
      <c r="C343" t="s">
        <v>767</v>
      </c>
      <c r="D343">
        <v>1.78</v>
      </c>
      <c r="E343">
        <v>3.95</v>
      </c>
      <c r="F343">
        <v>3.62</v>
      </c>
      <c r="G343">
        <v>6.5</v>
      </c>
      <c r="H343">
        <v>77</v>
      </c>
      <c r="I343">
        <v>2.5</v>
      </c>
      <c r="J343">
        <v>0</v>
      </c>
      <c r="K343" t="s">
        <v>344</v>
      </c>
      <c r="L343">
        <v>503</v>
      </c>
      <c r="M343">
        <v>244</v>
      </c>
      <c r="N343" s="1">
        <f t="shared" si="10"/>
        <v>0.51491053677932408</v>
      </c>
      <c r="O343" s="1">
        <f t="shared" si="11"/>
        <v>0.48508946322067592</v>
      </c>
    </row>
    <row r="344" spans="1:15" x14ac:dyDescent="0.25">
      <c r="A344" t="s">
        <v>876</v>
      </c>
      <c r="B344" t="s">
        <v>877</v>
      </c>
      <c r="C344" t="s">
        <v>878</v>
      </c>
      <c r="D344">
        <v>1.78</v>
      </c>
      <c r="E344">
        <v>2.56</v>
      </c>
      <c r="F344">
        <v>3.62</v>
      </c>
      <c r="G344">
        <v>8</v>
      </c>
      <c r="H344">
        <v>65</v>
      </c>
      <c r="I344">
        <v>1</v>
      </c>
      <c r="J344">
        <v>7</v>
      </c>
      <c r="K344" t="s">
        <v>344</v>
      </c>
      <c r="L344">
        <v>503</v>
      </c>
      <c r="M344">
        <v>244</v>
      </c>
      <c r="N344" s="1">
        <f t="shared" si="10"/>
        <v>0.51491053677932408</v>
      </c>
      <c r="O344" s="1">
        <f t="shared" si="11"/>
        <v>0.48508946322067592</v>
      </c>
    </row>
    <row r="345" spans="1:15" x14ac:dyDescent="0.25">
      <c r="A345" t="s">
        <v>879</v>
      </c>
      <c r="B345" t="s">
        <v>880</v>
      </c>
      <c r="C345" t="s">
        <v>767</v>
      </c>
      <c r="D345">
        <v>1.78</v>
      </c>
      <c r="E345">
        <v>3.96</v>
      </c>
      <c r="F345">
        <v>3.62</v>
      </c>
      <c r="G345">
        <v>6.5</v>
      </c>
      <c r="H345">
        <v>77</v>
      </c>
      <c r="I345">
        <v>2.5</v>
      </c>
      <c r="J345">
        <v>0</v>
      </c>
      <c r="K345" t="s">
        <v>344</v>
      </c>
      <c r="L345">
        <v>503</v>
      </c>
      <c r="M345">
        <v>244</v>
      </c>
      <c r="N345" s="1">
        <f t="shared" si="10"/>
        <v>0.51491053677932408</v>
      </c>
      <c r="O345" s="1">
        <f t="shared" si="11"/>
        <v>0.48508946322067592</v>
      </c>
    </row>
    <row r="346" spans="1:15" x14ac:dyDescent="0.25">
      <c r="A346" t="s">
        <v>881</v>
      </c>
      <c r="B346" t="s">
        <v>882</v>
      </c>
      <c r="C346" t="s">
        <v>767</v>
      </c>
      <c r="D346">
        <v>1.78</v>
      </c>
      <c r="E346">
        <v>3.96</v>
      </c>
      <c r="F346">
        <v>3.62</v>
      </c>
      <c r="G346">
        <v>6.5</v>
      </c>
      <c r="H346">
        <v>77</v>
      </c>
      <c r="I346">
        <v>2.5</v>
      </c>
      <c r="J346">
        <v>0</v>
      </c>
      <c r="K346" t="s">
        <v>344</v>
      </c>
      <c r="L346">
        <v>503</v>
      </c>
      <c r="M346">
        <v>244</v>
      </c>
      <c r="N346" s="1">
        <f t="shared" si="10"/>
        <v>0.51491053677932408</v>
      </c>
      <c r="O346" s="1">
        <f t="shared" si="11"/>
        <v>0.48508946322067592</v>
      </c>
    </row>
    <row r="347" spans="1:15" x14ac:dyDescent="0.25">
      <c r="A347" t="s">
        <v>883</v>
      </c>
      <c r="B347" t="s">
        <v>884</v>
      </c>
      <c r="C347" t="s">
        <v>767</v>
      </c>
      <c r="D347">
        <v>1.78</v>
      </c>
      <c r="E347">
        <v>3.96</v>
      </c>
      <c r="F347">
        <v>3.62</v>
      </c>
      <c r="G347">
        <v>6.5</v>
      </c>
      <c r="H347">
        <v>77</v>
      </c>
      <c r="I347">
        <v>2.5</v>
      </c>
      <c r="J347">
        <v>0</v>
      </c>
      <c r="K347" t="s">
        <v>344</v>
      </c>
      <c r="L347">
        <v>503</v>
      </c>
      <c r="M347">
        <v>244</v>
      </c>
      <c r="N347" s="1">
        <f t="shared" si="10"/>
        <v>0.51491053677932408</v>
      </c>
      <c r="O347" s="1">
        <f t="shared" si="11"/>
        <v>0.48508946322067592</v>
      </c>
    </row>
    <row r="348" spans="1:15" x14ac:dyDescent="0.25">
      <c r="A348" t="s">
        <v>885</v>
      </c>
      <c r="B348" t="s">
        <v>886</v>
      </c>
      <c r="C348" t="s">
        <v>767</v>
      </c>
      <c r="D348">
        <v>1.78</v>
      </c>
      <c r="E348">
        <v>3.95</v>
      </c>
      <c r="F348">
        <v>3.62</v>
      </c>
      <c r="G348">
        <v>6.5</v>
      </c>
      <c r="H348">
        <v>77</v>
      </c>
      <c r="I348">
        <v>2.5</v>
      </c>
      <c r="J348">
        <v>0</v>
      </c>
      <c r="K348" t="s">
        <v>344</v>
      </c>
      <c r="L348">
        <v>503</v>
      </c>
      <c r="M348">
        <v>244</v>
      </c>
      <c r="N348" s="1">
        <f t="shared" si="10"/>
        <v>0.51491053677932408</v>
      </c>
      <c r="O348" s="1">
        <f t="shared" si="11"/>
        <v>0.48508946322067592</v>
      </c>
    </row>
    <row r="349" spans="1:15" x14ac:dyDescent="0.25">
      <c r="A349" t="s">
        <v>887</v>
      </c>
      <c r="B349" t="s">
        <v>888</v>
      </c>
      <c r="C349" t="s">
        <v>889</v>
      </c>
      <c r="D349">
        <v>1.75</v>
      </c>
      <c r="E349">
        <v>0</v>
      </c>
      <c r="F349">
        <v>3.56</v>
      </c>
      <c r="G349">
        <v>0</v>
      </c>
      <c r="H349">
        <v>90</v>
      </c>
      <c r="I349">
        <v>10</v>
      </c>
      <c r="J349">
        <v>0</v>
      </c>
      <c r="K349" t="s">
        <v>344</v>
      </c>
      <c r="L349">
        <v>503</v>
      </c>
      <c r="M349">
        <v>248</v>
      </c>
      <c r="N349" s="1">
        <f t="shared" si="10"/>
        <v>0.50695825049701781</v>
      </c>
      <c r="O349" s="1">
        <f t="shared" si="11"/>
        <v>0.49304174950298213</v>
      </c>
    </row>
    <row r="350" spans="1:15" x14ac:dyDescent="0.25">
      <c r="A350" t="s">
        <v>890</v>
      </c>
      <c r="B350" t="s">
        <v>891</v>
      </c>
      <c r="C350" t="s">
        <v>892</v>
      </c>
      <c r="D350">
        <v>1.74</v>
      </c>
      <c r="E350">
        <v>2.56</v>
      </c>
      <c r="F350">
        <v>3.54</v>
      </c>
      <c r="G350">
        <v>5.17</v>
      </c>
      <c r="H350">
        <v>74.98</v>
      </c>
      <c r="I350">
        <v>1.76</v>
      </c>
      <c r="J350">
        <v>1.37</v>
      </c>
      <c r="K350" t="s">
        <v>344</v>
      </c>
      <c r="L350">
        <v>503</v>
      </c>
      <c r="M350">
        <v>249</v>
      </c>
      <c r="N350" s="1">
        <f t="shared" si="10"/>
        <v>0.50497017892644136</v>
      </c>
      <c r="O350" s="1">
        <f t="shared" si="11"/>
        <v>0.49502982107355864</v>
      </c>
    </row>
    <row r="351" spans="1:15" x14ac:dyDescent="0.25">
      <c r="A351" t="s">
        <v>893</v>
      </c>
      <c r="B351" t="s">
        <v>894</v>
      </c>
      <c r="C351" t="s">
        <v>892</v>
      </c>
      <c r="D351">
        <v>1.72</v>
      </c>
      <c r="E351">
        <v>2.56</v>
      </c>
      <c r="F351">
        <v>3.49</v>
      </c>
      <c r="G351">
        <v>5.23</v>
      </c>
      <c r="H351">
        <v>74.88</v>
      </c>
      <c r="I351">
        <v>1.75</v>
      </c>
      <c r="J351">
        <v>1.43</v>
      </c>
      <c r="K351" t="s">
        <v>344</v>
      </c>
      <c r="L351">
        <v>503</v>
      </c>
      <c r="M351">
        <v>250</v>
      </c>
      <c r="N351" s="1">
        <f t="shared" si="10"/>
        <v>0.50298210735586479</v>
      </c>
      <c r="O351" s="1">
        <f t="shared" si="11"/>
        <v>0.49701789264413521</v>
      </c>
    </row>
    <row r="352" spans="1:15" x14ac:dyDescent="0.25">
      <c r="A352" t="s">
        <v>895</v>
      </c>
      <c r="B352" t="s">
        <v>896</v>
      </c>
      <c r="C352" t="s">
        <v>897</v>
      </c>
      <c r="D352">
        <v>1.71</v>
      </c>
      <c r="E352">
        <v>1.63</v>
      </c>
      <c r="F352">
        <v>3.49</v>
      </c>
      <c r="G352">
        <v>14.78</v>
      </c>
      <c r="H352">
        <v>81.59</v>
      </c>
      <c r="I352">
        <v>3.63</v>
      </c>
      <c r="J352">
        <v>7.79</v>
      </c>
      <c r="K352" t="s">
        <v>344</v>
      </c>
      <c r="L352">
        <v>503</v>
      </c>
      <c r="M352">
        <v>250</v>
      </c>
      <c r="N352" s="1">
        <f t="shared" si="10"/>
        <v>0.50298210735586479</v>
      </c>
      <c r="O352" s="1">
        <f t="shared" si="11"/>
        <v>0.49701789264413521</v>
      </c>
    </row>
    <row r="353" spans="1:15" x14ac:dyDescent="0.25">
      <c r="A353" t="s">
        <v>898</v>
      </c>
      <c r="B353" t="s">
        <v>899</v>
      </c>
      <c r="C353" t="s">
        <v>892</v>
      </c>
      <c r="D353">
        <v>1.71</v>
      </c>
      <c r="E353">
        <v>2.56</v>
      </c>
      <c r="F353">
        <v>3.48</v>
      </c>
      <c r="G353">
        <v>5.12</v>
      </c>
      <c r="H353">
        <v>74.790000000000006</v>
      </c>
      <c r="I353">
        <v>1.92</v>
      </c>
      <c r="J353">
        <v>1.53</v>
      </c>
      <c r="K353" t="s">
        <v>344</v>
      </c>
      <c r="L353">
        <v>503</v>
      </c>
      <c r="M353">
        <v>250</v>
      </c>
      <c r="N353" s="1">
        <f t="shared" si="10"/>
        <v>0.50298210735586479</v>
      </c>
      <c r="O353" s="1">
        <f t="shared" si="11"/>
        <v>0.49701789264413521</v>
      </c>
    </row>
    <row r="354" spans="1:15" x14ac:dyDescent="0.25">
      <c r="A354" t="s">
        <v>900</v>
      </c>
      <c r="B354" t="s">
        <v>901</v>
      </c>
      <c r="C354" t="s">
        <v>902</v>
      </c>
      <c r="D354">
        <v>1.7</v>
      </c>
      <c r="E354">
        <v>1.55</v>
      </c>
      <c r="F354">
        <v>3.45</v>
      </c>
      <c r="G354">
        <v>2</v>
      </c>
      <c r="H354">
        <v>93</v>
      </c>
      <c r="I354">
        <v>3</v>
      </c>
      <c r="J354">
        <v>0</v>
      </c>
      <c r="K354" t="s">
        <v>344</v>
      </c>
      <c r="L354">
        <v>503</v>
      </c>
      <c r="M354">
        <v>253</v>
      </c>
      <c r="N354" s="1">
        <f t="shared" si="10"/>
        <v>0.49701789264413521</v>
      </c>
      <c r="O354" s="1">
        <f t="shared" si="11"/>
        <v>0.50298210735586479</v>
      </c>
    </row>
    <row r="355" spans="1:15" x14ac:dyDescent="0.25">
      <c r="A355" t="s">
        <v>903</v>
      </c>
      <c r="B355" t="s">
        <v>904</v>
      </c>
      <c r="C355" t="s">
        <v>905</v>
      </c>
      <c r="D355">
        <v>1.69</v>
      </c>
      <c r="E355">
        <v>0.8</v>
      </c>
      <c r="F355">
        <v>3.44</v>
      </c>
      <c r="G355">
        <v>0</v>
      </c>
      <c r="H355">
        <v>98.51</v>
      </c>
      <c r="I355">
        <v>1.49</v>
      </c>
      <c r="J355">
        <v>0</v>
      </c>
      <c r="K355" t="s">
        <v>344</v>
      </c>
      <c r="L355">
        <v>503</v>
      </c>
      <c r="M355">
        <v>253</v>
      </c>
      <c r="N355" s="1">
        <f t="shared" si="10"/>
        <v>0.49701789264413521</v>
      </c>
      <c r="O355" s="1">
        <f t="shared" si="11"/>
        <v>0.50298210735586479</v>
      </c>
    </row>
    <row r="356" spans="1:15" x14ac:dyDescent="0.25">
      <c r="A356" t="s">
        <v>906</v>
      </c>
      <c r="B356" t="s">
        <v>907</v>
      </c>
      <c r="C356" t="s">
        <v>908</v>
      </c>
      <c r="D356">
        <v>1.69</v>
      </c>
      <c r="E356">
        <v>2.04</v>
      </c>
      <c r="F356">
        <v>3.43</v>
      </c>
      <c r="G356">
        <v>9.8800000000000008</v>
      </c>
      <c r="H356">
        <v>79.13</v>
      </c>
      <c r="I356">
        <v>0.99</v>
      </c>
      <c r="J356">
        <v>8.99</v>
      </c>
      <c r="K356" t="s">
        <v>344</v>
      </c>
      <c r="L356">
        <v>503</v>
      </c>
      <c r="M356">
        <v>254</v>
      </c>
      <c r="N356" s="1">
        <f t="shared" si="10"/>
        <v>0.49502982107355864</v>
      </c>
      <c r="O356" s="1">
        <f t="shared" si="11"/>
        <v>0.50497017892644136</v>
      </c>
    </row>
    <row r="357" spans="1:15" x14ac:dyDescent="0.25">
      <c r="A357" t="s">
        <v>909</v>
      </c>
      <c r="B357" t="s">
        <v>910</v>
      </c>
      <c r="C357" t="s">
        <v>756</v>
      </c>
      <c r="D357">
        <v>1.67</v>
      </c>
      <c r="E357">
        <v>2.4</v>
      </c>
      <c r="F357">
        <v>3.4</v>
      </c>
      <c r="G357">
        <v>6</v>
      </c>
      <c r="H357">
        <v>64</v>
      </c>
      <c r="I357">
        <v>1</v>
      </c>
      <c r="J357">
        <v>8</v>
      </c>
      <c r="K357" t="s">
        <v>344</v>
      </c>
      <c r="L357">
        <v>503</v>
      </c>
      <c r="M357">
        <v>255</v>
      </c>
      <c r="N357" s="1">
        <f t="shared" si="10"/>
        <v>0.49304174950298207</v>
      </c>
      <c r="O357" s="1">
        <f t="shared" si="11"/>
        <v>0.50695825049701793</v>
      </c>
    </row>
    <row r="358" spans="1:15" x14ac:dyDescent="0.25">
      <c r="A358" t="s">
        <v>911</v>
      </c>
      <c r="B358" t="s">
        <v>912</v>
      </c>
      <c r="C358" t="s">
        <v>913</v>
      </c>
      <c r="D358">
        <v>1.67</v>
      </c>
      <c r="E358">
        <v>1.93</v>
      </c>
      <c r="F358">
        <v>3.41</v>
      </c>
      <c r="G358">
        <v>0</v>
      </c>
      <c r="H358">
        <v>90.06</v>
      </c>
      <c r="I358">
        <v>9.94</v>
      </c>
      <c r="J358">
        <v>0</v>
      </c>
      <c r="K358" t="s">
        <v>344</v>
      </c>
      <c r="L358">
        <v>503</v>
      </c>
      <c r="M358">
        <v>255</v>
      </c>
      <c r="N358" s="1">
        <f t="shared" si="10"/>
        <v>0.49304174950298207</v>
      </c>
      <c r="O358" s="1">
        <f t="shared" si="11"/>
        <v>0.50695825049701793</v>
      </c>
    </row>
    <row r="359" spans="1:15" x14ac:dyDescent="0.25">
      <c r="A359" t="s">
        <v>914</v>
      </c>
      <c r="B359" t="s">
        <v>915</v>
      </c>
      <c r="C359" t="s">
        <v>916</v>
      </c>
      <c r="D359">
        <v>1.66</v>
      </c>
      <c r="E359">
        <v>0.8</v>
      </c>
      <c r="F359">
        <v>3.38</v>
      </c>
      <c r="G359">
        <v>0</v>
      </c>
      <c r="H359">
        <v>99</v>
      </c>
      <c r="I359">
        <v>1</v>
      </c>
      <c r="J359">
        <v>0</v>
      </c>
      <c r="K359" t="s">
        <v>344</v>
      </c>
      <c r="L359">
        <v>503</v>
      </c>
      <c r="M359">
        <v>256</v>
      </c>
      <c r="N359" s="1">
        <f t="shared" si="10"/>
        <v>0.49105367793240562</v>
      </c>
      <c r="O359" s="1">
        <f t="shared" si="11"/>
        <v>0.50894632206759438</v>
      </c>
    </row>
    <row r="360" spans="1:15" x14ac:dyDescent="0.25">
      <c r="A360" t="s">
        <v>917</v>
      </c>
      <c r="B360" t="s">
        <v>918</v>
      </c>
      <c r="C360" t="s">
        <v>919</v>
      </c>
      <c r="D360">
        <v>1.66</v>
      </c>
      <c r="E360">
        <v>3.41</v>
      </c>
      <c r="F360">
        <v>3.38</v>
      </c>
      <c r="G360">
        <v>14.9</v>
      </c>
      <c r="H360">
        <v>65.7</v>
      </c>
      <c r="I360">
        <v>2.4</v>
      </c>
      <c r="J360">
        <v>2.5</v>
      </c>
      <c r="K360" t="s">
        <v>344</v>
      </c>
      <c r="L360">
        <v>503</v>
      </c>
      <c r="M360">
        <v>256</v>
      </c>
      <c r="N360" s="1">
        <f t="shared" si="10"/>
        <v>0.49105367793240562</v>
      </c>
      <c r="O360" s="1">
        <f t="shared" si="11"/>
        <v>0.50894632206759438</v>
      </c>
    </row>
    <row r="361" spans="1:15" x14ac:dyDescent="0.25">
      <c r="A361" t="s">
        <v>920</v>
      </c>
      <c r="B361" t="s">
        <v>921</v>
      </c>
      <c r="C361" t="s">
        <v>922</v>
      </c>
      <c r="D361">
        <v>1.62</v>
      </c>
      <c r="E361">
        <v>1.97</v>
      </c>
      <c r="F361">
        <v>3.29</v>
      </c>
      <c r="G361">
        <v>14.88</v>
      </c>
      <c r="H361">
        <v>74.75</v>
      </c>
      <c r="I361">
        <v>1.01</v>
      </c>
      <c r="J361">
        <v>0</v>
      </c>
      <c r="K361" t="s">
        <v>344</v>
      </c>
      <c r="L361">
        <v>503</v>
      </c>
      <c r="M361">
        <v>259</v>
      </c>
      <c r="N361" s="1">
        <f t="shared" si="10"/>
        <v>0.48508946322067592</v>
      </c>
      <c r="O361" s="1">
        <f t="shared" si="11"/>
        <v>0.51491053677932408</v>
      </c>
    </row>
    <row r="362" spans="1:15" x14ac:dyDescent="0.25">
      <c r="A362" t="s">
        <v>923</v>
      </c>
      <c r="B362" t="s">
        <v>924</v>
      </c>
      <c r="C362" t="s">
        <v>925</v>
      </c>
      <c r="D362">
        <v>1.62</v>
      </c>
      <c r="E362">
        <v>0.79</v>
      </c>
      <c r="F362">
        <v>3.3</v>
      </c>
      <c r="G362">
        <v>0</v>
      </c>
      <c r="H362">
        <v>95.95</v>
      </c>
      <c r="I362">
        <v>4.05</v>
      </c>
      <c r="J362">
        <v>0</v>
      </c>
      <c r="K362" t="s">
        <v>344</v>
      </c>
      <c r="L362">
        <v>503</v>
      </c>
      <c r="M362">
        <v>259</v>
      </c>
      <c r="N362" s="1">
        <f t="shared" si="10"/>
        <v>0.48508946322067592</v>
      </c>
      <c r="O362" s="1">
        <f t="shared" si="11"/>
        <v>0.51491053677932408</v>
      </c>
    </row>
    <row r="363" spans="1:15" x14ac:dyDescent="0.25">
      <c r="A363" t="s">
        <v>926</v>
      </c>
      <c r="B363" t="s">
        <v>927</v>
      </c>
      <c r="C363" t="s">
        <v>892</v>
      </c>
      <c r="D363">
        <v>1.61</v>
      </c>
      <c r="E363">
        <v>2.56</v>
      </c>
      <c r="F363">
        <v>3.28</v>
      </c>
      <c r="G363">
        <v>4.87</v>
      </c>
      <c r="H363">
        <v>74.27</v>
      </c>
      <c r="I363">
        <v>1.73</v>
      </c>
      <c r="J363">
        <v>1.55</v>
      </c>
      <c r="K363" t="s">
        <v>344</v>
      </c>
      <c r="L363">
        <v>503</v>
      </c>
      <c r="M363">
        <v>261</v>
      </c>
      <c r="N363" s="1">
        <f t="shared" si="10"/>
        <v>0.4811133200795229</v>
      </c>
      <c r="O363" s="1">
        <f t="shared" si="11"/>
        <v>0.5188866799204771</v>
      </c>
    </row>
    <row r="364" spans="1:15" x14ac:dyDescent="0.25">
      <c r="A364" t="s">
        <v>928</v>
      </c>
      <c r="B364" t="s">
        <v>929</v>
      </c>
      <c r="C364" t="s">
        <v>913</v>
      </c>
      <c r="D364">
        <v>1.61</v>
      </c>
      <c r="E364">
        <v>1.93</v>
      </c>
      <c r="F364">
        <v>3.27</v>
      </c>
      <c r="G364">
        <v>0</v>
      </c>
      <c r="H364">
        <v>90.05</v>
      </c>
      <c r="I364">
        <v>9.9499999999999993</v>
      </c>
      <c r="J364">
        <v>0</v>
      </c>
      <c r="K364" t="s">
        <v>344</v>
      </c>
      <c r="L364">
        <v>503</v>
      </c>
      <c r="M364">
        <v>261</v>
      </c>
      <c r="N364" s="1">
        <f t="shared" si="10"/>
        <v>0.4811133200795229</v>
      </c>
      <c r="O364" s="1">
        <f t="shared" si="11"/>
        <v>0.5188866799204771</v>
      </c>
    </row>
    <row r="365" spans="1:15" x14ac:dyDescent="0.25">
      <c r="A365" t="s">
        <v>930</v>
      </c>
      <c r="B365" t="s">
        <v>931</v>
      </c>
      <c r="C365" t="s">
        <v>932</v>
      </c>
      <c r="D365">
        <v>1.6</v>
      </c>
      <c r="E365">
        <v>1.51</v>
      </c>
      <c r="F365">
        <v>3.26</v>
      </c>
      <c r="G365">
        <v>0</v>
      </c>
      <c r="H365">
        <v>99</v>
      </c>
      <c r="I365">
        <v>1</v>
      </c>
      <c r="J365">
        <v>0</v>
      </c>
      <c r="K365" t="s">
        <v>344</v>
      </c>
      <c r="L365">
        <v>503</v>
      </c>
      <c r="M365">
        <v>261</v>
      </c>
      <c r="N365" s="1">
        <f t="shared" si="10"/>
        <v>0.4811133200795229</v>
      </c>
      <c r="O365" s="1">
        <f t="shared" si="11"/>
        <v>0.5188866799204771</v>
      </c>
    </row>
    <row r="366" spans="1:15" x14ac:dyDescent="0.25">
      <c r="A366" t="s">
        <v>933</v>
      </c>
      <c r="B366" t="s">
        <v>934</v>
      </c>
      <c r="C366" t="s">
        <v>935</v>
      </c>
      <c r="D366">
        <v>1.59</v>
      </c>
      <c r="E366">
        <v>2.27</v>
      </c>
      <c r="F366">
        <v>3.24</v>
      </c>
      <c r="G366">
        <v>10</v>
      </c>
      <c r="H366">
        <v>75</v>
      </c>
      <c r="I366">
        <v>2</v>
      </c>
      <c r="J366">
        <v>0</v>
      </c>
      <c r="K366" t="s">
        <v>344</v>
      </c>
      <c r="L366">
        <v>503</v>
      </c>
      <c r="M366">
        <v>262</v>
      </c>
      <c r="N366" s="1">
        <f t="shared" si="10"/>
        <v>0.47912524850894633</v>
      </c>
      <c r="O366" s="1">
        <f t="shared" si="11"/>
        <v>0.52087475149105367</v>
      </c>
    </row>
    <row r="367" spans="1:15" x14ac:dyDescent="0.25">
      <c r="A367" t="s">
        <v>936</v>
      </c>
      <c r="B367" t="s">
        <v>937</v>
      </c>
      <c r="C367" t="s">
        <v>892</v>
      </c>
      <c r="D367">
        <v>1.58</v>
      </c>
      <c r="E367">
        <v>2.56</v>
      </c>
      <c r="F367">
        <v>3.21</v>
      </c>
      <c r="G367">
        <v>5.22</v>
      </c>
      <c r="H367">
        <v>74.819999999999993</v>
      </c>
      <c r="I367">
        <v>1.75</v>
      </c>
      <c r="J367">
        <v>1.42</v>
      </c>
      <c r="K367" t="s">
        <v>344</v>
      </c>
      <c r="L367">
        <v>503</v>
      </c>
      <c r="M367">
        <v>265</v>
      </c>
      <c r="N367" s="1">
        <f t="shared" si="10"/>
        <v>0.47316103379721675</v>
      </c>
      <c r="O367" s="1">
        <f t="shared" si="11"/>
        <v>0.52683896620278325</v>
      </c>
    </row>
    <row r="368" spans="1:15" x14ac:dyDescent="0.25">
      <c r="A368" t="s">
        <v>938</v>
      </c>
      <c r="B368" t="s">
        <v>939</v>
      </c>
      <c r="C368" t="s">
        <v>940</v>
      </c>
      <c r="D368">
        <v>1.56</v>
      </c>
      <c r="E368">
        <v>1.2</v>
      </c>
      <c r="F368">
        <v>3.18</v>
      </c>
      <c r="G368">
        <v>0</v>
      </c>
      <c r="H368">
        <v>99.01</v>
      </c>
      <c r="I368">
        <v>0.99</v>
      </c>
      <c r="J368">
        <v>0</v>
      </c>
      <c r="K368" t="s">
        <v>344</v>
      </c>
      <c r="L368">
        <v>503</v>
      </c>
      <c r="M368">
        <v>271</v>
      </c>
      <c r="N368" s="1">
        <f t="shared" si="10"/>
        <v>0.46123260437375746</v>
      </c>
      <c r="O368" s="1">
        <f t="shared" si="11"/>
        <v>0.53876739562624254</v>
      </c>
    </row>
    <row r="369" spans="1:15" x14ac:dyDescent="0.25">
      <c r="A369" t="s">
        <v>941</v>
      </c>
      <c r="B369" t="s">
        <v>942</v>
      </c>
      <c r="C369" t="s">
        <v>943</v>
      </c>
      <c r="D369">
        <v>1.55</v>
      </c>
      <c r="E369">
        <v>0</v>
      </c>
      <c r="F369">
        <v>3.15</v>
      </c>
      <c r="G369">
        <v>0</v>
      </c>
      <c r="H369">
        <v>90.15</v>
      </c>
      <c r="I369">
        <v>9.85</v>
      </c>
      <c r="J369">
        <v>0</v>
      </c>
      <c r="K369" t="s">
        <v>344</v>
      </c>
      <c r="L369">
        <v>503</v>
      </c>
      <c r="M369">
        <v>273</v>
      </c>
      <c r="N369" s="1">
        <f t="shared" si="10"/>
        <v>0.45725646123260433</v>
      </c>
      <c r="O369" s="1">
        <f t="shared" si="11"/>
        <v>0.54274353876739567</v>
      </c>
    </row>
    <row r="370" spans="1:15" x14ac:dyDescent="0.25">
      <c r="A370" t="s">
        <v>944</v>
      </c>
      <c r="B370" t="s">
        <v>945</v>
      </c>
      <c r="C370" t="s">
        <v>539</v>
      </c>
      <c r="D370">
        <v>1.55</v>
      </c>
      <c r="E370">
        <v>2.56</v>
      </c>
      <c r="F370">
        <v>3.15</v>
      </c>
      <c r="G370">
        <v>4.9800000000000004</v>
      </c>
      <c r="H370">
        <v>74.319999999999993</v>
      </c>
      <c r="I370">
        <v>1.73</v>
      </c>
      <c r="J370">
        <v>1.57</v>
      </c>
      <c r="K370" t="s">
        <v>344</v>
      </c>
      <c r="L370">
        <v>503</v>
      </c>
      <c r="M370">
        <v>274</v>
      </c>
      <c r="N370" s="1">
        <f t="shared" si="10"/>
        <v>0.45526838966202787</v>
      </c>
      <c r="O370" s="1">
        <f t="shared" si="11"/>
        <v>0.54473161033797213</v>
      </c>
    </row>
    <row r="371" spans="1:15" x14ac:dyDescent="0.25">
      <c r="A371" t="s">
        <v>946</v>
      </c>
      <c r="B371" t="s">
        <v>947</v>
      </c>
      <c r="C371" t="s">
        <v>948</v>
      </c>
      <c r="D371">
        <v>1.54</v>
      </c>
      <c r="E371">
        <v>3.96</v>
      </c>
      <c r="F371">
        <v>3.13</v>
      </c>
      <c r="G371">
        <v>12</v>
      </c>
      <c r="H371">
        <v>67.010000000000005</v>
      </c>
      <c r="I371">
        <v>1.99</v>
      </c>
      <c r="J371">
        <v>6.5</v>
      </c>
      <c r="K371" t="s">
        <v>344</v>
      </c>
      <c r="L371">
        <v>503</v>
      </c>
      <c r="M371">
        <v>274</v>
      </c>
      <c r="N371" s="1">
        <f t="shared" si="10"/>
        <v>0.45526838966202787</v>
      </c>
      <c r="O371" s="1">
        <f t="shared" si="11"/>
        <v>0.54473161033797213</v>
      </c>
    </row>
    <row r="372" spans="1:15" x14ac:dyDescent="0.25">
      <c r="A372" t="s">
        <v>949</v>
      </c>
      <c r="B372" t="s">
        <v>950</v>
      </c>
      <c r="C372" t="s">
        <v>948</v>
      </c>
      <c r="D372">
        <v>1.54</v>
      </c>
      <c r="E372">
        <v>3.96</v>
      </c>
      <c r="F372">
        <v>3.13</v>
      </c>
      <c r="G372">
        <v>12</v>
      </c>
      <c r="H372">
        <v>67.010000000000005</v>
      </c>
      <c r="I372">
        <v>1.99</v>
      </c>
      <c r="J372">
        <v>6.5</v>
      </c>
      <c r="K372" t="s">
        <v>344</v>
      </c>
      <c r="L372">
        <v>503</v>
      </c>
      <c r="M372">
        <v>274</v>
      </c>
      <c r="N372" s="1">
        <f t="shared" si="10"/>
        <v>0.45526838966202787</v>
      </c>
      <c r="O372" s="1">
        <f t="shared" si="11"/>
        <v>0.54473161033797213</v>
      </c>
    </row>
    <row r="373" spans="1:15" x14ac:dyDescent="0.25">
      <c r="A373" t="s">
        <v>951</v>
      </c>
      <c r="B373" t="s">
        <v>952</v>
      </c>
      <c r="C373" t="s">
        <v>948</v>
      </c>
      <c r="D373">
        <v>1.54</v>
      </c>
      <c r="E373">
        <v>3.95</v>
      </c>
      <c r="F373">
        <v>3.13</v>
      </c>
      <c r="G373">
        <v>12</v>
      </c>
      <c r="H373">
        <v>67.010000000000005</v>
      </c>
      <c r="I373">
        <v>1.99</v>
      </c>
      <c r="J373">
        <v>6.5</v>
      </c>
      <c r="K373" t="s">
        <v>344</v>
      </c>
      <c r="L373">
        <v>503</v>
      </c>
      <c r="M373">
        <v>274</v>
      </c>
      <c r="N373" s="1">
        <f t="shared" si="10"/>
        <v>0.45526838966202787</v>
      </c>
      <c r="O373" s="1">
        <f t="shared" si="11"/>
        <v>0.54473161033797213</v>
      </c>
    </row>
    <row r="374" spans="1:15" x14ac:dyDescent="0.25">
      <c r="A374" t="s">
        <v>953</v>
      </c>
      <c r="B374" t="s">
        <v>954</v>
      </c>
      <c r="C374" t="s">
        <v>948</v>
      </c>
      <c r="D374">
        <v>1.54</v>
      </c>
      <c r="E374">
        <v>3.96</v>
      </c>
      <c r="F374">
        <v>3.13</v>
      </c>
      <c r="G374">
        <v>12</v>
      </c>
      <c r="H374">
        <v>67.010000000000005</v>
      </c>
      <c r="I374">
        <v>1.99</v>
      </c>
      <c r="J374">
        <v>6.5</v>
      </c>
      <c r="K374" t="s">
        <v>344</v>
      </c>
      <c r="L374">
        <v>503</v>
      </c>
      <c r="M374">
        <v>274</v>
      </c>
      <c r="N374" s="1">
        <f t="shared" si="10"/>
        <v>0.45526838966202787</v>
      </c>
      <c r="O374" s="1">
        <f t="shared" si="11"/>
        <v>0.54473161033797213</v>
      </c>
    </row>
    <row r="375" spans="1:15" x14ac:dyDescent="0.25">
      <c r="A375" t="s">
        <v>955</v>
      </c>
      <c r="B375" t="s">
        <v>956</v>
      </c>
      <c r="C375" t="s">
        <v>948</v>
      </c>
      <c r="D375">
        <v>1.54</v>
      </c>
      <c r="E375">
        <v>3.96</v>
      </c>
      <c r="F375">
        <v>3.13</v>
      </c>
      <c r="G375">
        <v>12</v>
      </c>
      <c r="H375">
        <v>67.010000000000005</v>
      </c>
      <c r="I375">
        <v>1.99</v>
      </c>
      <c r="J375">
        <v>6.5</v>
      </c>
      <c r="K375" t="s">
        <v>344</v>
      </c>
      <c r="L375">
        <v>503</v>
      </c>
      <c r="M375">
        <v>274</v>
      </c>
      <c r="N375" s="1">
        <f t="shared" si="10"/>
        <v>0.45526838966202787</v>
      </c>
      <c r="O375" s="1">
        <f t="shared" si="11"/>
        <v>0.54473161033797213</v>
      </c>
    </row>
    <row r="376" spans="1:15" x14ac:dyDescent="0.25">
      <c r="A376" t="s">
        <v>957</v>
      </c>
      <c r="B376" t="s">
        <v>958</v>
      </c>
      <c r="C376" t="s">
        <v>959</v>
      </c>
      <c r="D376">
        <v>1.54</v>
      </c>
      <c r="E376">
        <v>2.92</v>
      </c>
      <c r="F376">
        <v>3.12</v>
      </c>
      <c r="G376">
        <v>0</v>
      </c>
      <c r="H376">
        <v>35</v>
      </c>
      <c r="I376">
        <v>1</v>
      </c>
      <c r="J376">
        <v>0</v>
      </c>
      <c r="K376" t="s">
        <v>344</v>
      </c>
      <c r="L376">
        <v>503</v>
      </c>
      <c r="M376">
        <v>275</v>
      </c>
      <c r="N376" s="1">
        <f t="shared" si="10"/>
        <v>0.45328031809145131</v>
      </c>
      <c r="O376" s="1">
        <f t="shared" si="11"/>
        <v>0.54671968190854869</v>
      </c>
    </row>
    <row r="377" spans="1:15" x14ac:dyDescent="0.25">
      <c r="A377" t="s">
        <v>960</v>
      </c>
      <c r="B377" t="s">
        <v>961</v>
      </c>
      <c r="C377" t="s">
        <v>962</v>
      </c>
      <c r="D377">
        <v>1.51</v>
      </c>
      <c r="E377">
        <v>1.62</v>
      </c>
      <c r="F377">
        <v>3.07</v>
      </c>
      <c r="G377">
        <v>0</v>
      </c>
      <c r="H377">
        <v>95.04</v>
      </c>
      <c r="I377">
        <v>4.96</v>
      </c>
      <c r="J377">
        <v>0</v>
      </c>
      <c r="K377" t="s">
        <v>344</v>
      </c>
      <c r="L377">
        <v>503</v>
      </c>
      <c r="M377">
        <v>277</v>
      </c>
      <c r="N377" s="1">
        <f t="shared" si="10"/>
        <v>0.44930417495029817</v>
      </c>
      <c r="O377" s="1">
        <f t="shared" si="11"/>
        <v>0.55069582504970183</v>
      </c>
    </row>
    <row r="378" spans="1:15" x14ac:dyDescent="0.25">
      <c r="A378" t="s">
        <v>963</v>
      </c>
      <c r="B378" t="s">
        <v>964</v>
      </c>
      <c r="C378" t="s">
        <v>965</v>
      </c>
      <c r="D378">
        <v>1.5</v>
      </c>
      <c r="E378">
        <v>2.21</v>
      </c>
      <c r="F378">
        <v>3.05</v>
      </c>
      <c r="G378">
        <v>14.78</v>
      </c>
      <c r="H378">
        <v>78.78</v>
      </c>
      <c r="I378">
        <v>2.0499999999999998</v>
      </c>
      <c r="J378">
        <v>4.24</v>
      </c>
      <c r="K378" t="s">
        <v>344</v>
      </c>
      <c r="L378">
        <v>503</v>
      </c>
      <c r="M378">
        <v>278</v>
      </c>
      <c r="N378" s="1">
        <f t="shared" si="10"/>
        <v>0.44731610337972172</v>
      </c>
      <c r="O378" s="1">
        <f t="shared" si="11"/>
        <v>0.55268389662027828</v>
      </c>
    </row>
    <row r="379" spans="1:15" x14ac:dyDescent="0.25">
      <c r="A379" t="s">
        <v>966</v>
      </c>
      <c r="B379" t="s">
        <v>967</v>
      </c>
      <c r="C379" t="s">
        <v>968</v>
      </c>
      <c r="D379">
        <v>1.5</v>
      </c>
      <c r="E379">
        <v>1.04</v>
      </c>
      <c r="F379">
        <v>3.04</v>
      </c>
      <c r="G379">
        <v>0</v>
      </c>
      <c r="H379">
        <v>98</v>
      </c>
      <c r="I379">
        <v>2</v>
      </c>
      <c r="J379">
        <v>0</v>
      </c>
      <c r="K379" t="s">
        <v>344</v>
      </c>
      <c r="L379">
        <v>503</v>
      </c>
      <c r="M379">
        <v>279</v>
      </c>
      <c r="N379" s="1">
        <f t="shared" si="10"/>
        <v>0.44532803180914515</v>
      </c>
      <c r="O379" s="1">
        <f t="shared" si="11"/>
        <v>0.55467196819085485</v>
      </c>
    </row>
    <row r="380" spans="1:15" x14ac:dyDescent="0.25">
      <c r="A380" t="s">
        <v>969</v>
      </c>
      <c r="B380" t="s">
        <v>970</v>
      </c>
      <c r="C380" t="s">
        <v>968</v>
      </c>
      <c r="D380">
        <v>1.5</v>
      </c>
      <c r="E380">
        <v>1.04</v>
      </c>
      <c r="F380">
        <v>3.04</v>
      </c>
      <c r="G380">
        <v>0</v>
      </c>
      <c r="H380">
        <v>98</v>
      </c>
      <c r="I380">
        <v>2</v>
      </c>
      <c r="J380">
        <v>0</v>
      </c>
      <c r="K380" t="s">
        <v>344</v>
      </c>
      <c r="L380">
        <v>503</v>
      </c>
      <c r="M380">
        <v>279</v>
      </c>
      <c r="N380" s="1">
        <f t="shared" si="10"/>
        <v>0.44532803180914515</v>
      </c>
      <c r="O380" s="1">
        <f t="shared" si="11"/>
        <v>0.55467196819085485</v>
      </c>
    </row>
    <row r="381" spans="1:15" x14ac:dyDescent="0.25">
      <c r="A381" t="s">
        <v>971</v>
      </c>
      <c r="B381" t="s">
        <v>972</v>
      </c>
      <c r="C381" t="s">
        <v>973</v>
      </c>
      <c r="D381">
        <v>1.48</v>
      </c>
      <c r="E381">
        <v>2.21</v>
      </c>
      <c r="F381">
        <v>3</v>
      </c>
      <c r="G381">
        <v>0</v>
      </c>
      <c r="H381">
        <v>79.260000000000005</v>
      </c>
      <c r="I381">
        <v>1.98</v>
      </c>
      <c r="J381">
        <v>0</v>
      </c>
      <c r="K381" t="s">
        <v>344</v>
      </c>
      <c r="L381">
        <v>503</v>
      </c>
      <c r="M381">
        <v>282</v>
      </c>
      <c r="N381" s="1">
        <f t="shared" si="10"/>
        <v>0.43936381709741545</v>
      </c>
      <c r="O381" s="1">
        <f t="shared" si="11"/>
        <v>0.56063618290258455</v>
      </c>
    </row>
    <row r="382" spans="1:15" x14ac:dyDescent="0.25">
      <c r="A382" t="s">
        <v>974</v>
      </c>
      <c r="B382" t="s">
        <v>975</v>
      </c>
      <c r="C382" t="s">
        <v>976</v>
      </c>
      <c r="D382">
        <v>1.47</v>
      </c>
      <c r="E382">
        <v>0.99</v>
      </c>
      <c r="F382">
        <v>3</v>
      </c>
      <c r="G382">
        <v>0</v>
      </c>
      <c r="H382">
        <v>93</v>
      </c>
      <c r="I382">
        <v>2</v>
      </c>
      <c r="J382">
        <v>0</v>
      </c>
      <c r="K382" t="s">
        <v>344</v>
      </c>
      <c r="L382">
        <v>503</v>
      </c>
      <c r="M382">
        <v>282</v>
      </c>
      <c r="N382" s="1">
        <f t="shared" si="10"/>
        <v>0.43936381709741545</v>
      </c>
      <c r="O382" s="1">
        <f t="shared" si="11"/>
        <v>0.56063618290258455</v>
      </c>
    </row>
    <row r="383" spans="1:15" x14ac:dyDescent="0.25">
      <c r="A383" t="s">
        <v>977</v>
      </c>
      <c r="B383" t="s">
        <v>978</v>
      </c>
      <c r="C383" t="s">
        <v>539</v>
      </c>
      <c r="D383">
        <v>1.47</v>
      </c>
      <c r="E383">
        <v>2.5499999999999998</v>
      </c>
      <c r="F383">
        <v>2.98</v>
      </c>
      <c r="G383">
        <v>3.2</v>
      </c>
      <c r="H383">
        <v>77.5</v>
      </c>
      <c r="I383">
        <v>1.6</v>
      </c>
      <c r="J383">
        <v>0.8</v>
      </c>
      <c r="K383" t="s">
        <v>344</v>
      </c>
      <c r="L383">
        <v>503</v>
      </c>
      <c r="M383">
        <v>282</v>
      </c>
      <c r="N383" s="1">
        <f t="shared" si="10"/>
        <v>0.43936381709741545</v>
      </c>
      <c r="O383" s="1">
        <f t="shared" si="11"/>
        <v>0.56063618290258455</v>
      </c>
    </row>
    <row r="384" spans="1:15" x14ac:dyDescent="0.25">
      <c r="A384" t="s">
        <v>979</v>
      </c>
      <c r="B384" t="s">
        <v>980</v>
      </c>
      <c r="C384" t="s">
        <v>606</v>
      </c>
      <c r="D384">
        <v>1.45</v>
      </c>
      <c r="E384">
        <v>2.0299999999999998</v>
      </c>
      <c r="F384">
        <v>2.95</v>
      </c>
      <c r="G384">
        <v>6.93</v>
      </c>
      <c r="H384">
        <v>91.08</v>
      </c>
      <c r="I384">
        <v>0.99</v>
      </c>
      <c r="J384">
        <v>3.15</v>
      </c>
      <c r="K384" t="s">
        <v>344</v>
      </c>
      <c r="L384">
        <v>503</v>
      </c>
      <c r="M384">
        <v>284</v>
      </c>
      <c r="N384" s="1">
        <f t="shared" si="10"/>
        <v>0.43538767395626243</v>
      </c>
      <c r="O384" s="1">
        <f t="shared" si="11"/>
        <v>0.56461232604373757</v>
      </c>
    </row>
    <row r="385" spans="1:15" x14ac:dyDescent="0.25">
      <c r="A385" t="s">
        <v>981</v>
      </c>
      <c r="B385" t="s">
        <v>982</v>
      </c>
      <c r="C385" t="s">
        <v>983</v>
      </c>
      <c r="D385">
        <v>1.45</v>
      </c>
      <c r="E385">
        <v>3.96</v>
      </c>
      <c r="F385">
        <v>2.95</v>
      </c>
      <c r="G385">
        <v>15.5</v>
      </c>
      <c r="H385">
        <v>67</v>
      </c>
      <c r="I385">
        <v>1.5</v>
      </c>
      <c r="J385">
        <v>1.5</v>
      </c>
      <c r="K385" t="s">
        <v>344</v>
      </c>
      <c r="L385">
        <v>503</v>
      </c>
      <c r="M385">
        <v>284</v>
      </c>
      <c r="N385" s="1">
        <f t="shared" si="10"/>
        <v>0.43538767395626243</v>
      </c>
      <c r="O385" s="1">
        <f t="shared" si="11"/>
        <v>0.56461232604373757</v>
      </c>
    </row>
    <row r="386" spans="1:15" x14ac:dyDescent="0.25">
      <c r="A386" t="s">
        <v>984</v>
      </c>
      <c r="B386" t="s">
        <v>985</v>
      </c>
      <c r="C386" t="s">
        <v>606</v>
      </c>
      <c r="D386">
        <v>1.45</v>
      </c>
      <c r="E386">
        <v>2.0299999999999998</v>
      </c>
      <c r="F386">
        <v>2.95</v>
      </c>
      <c r="G386">
        <v>6.93</v>
      </c>
      <c r="H386">
        <v>91.08</v>
      </c>
      <c r="I386">
        <v>0.99</v>
      </c>
      <c r="J386">
        <v>3.15</v>
      </c>
      <c r="K386" t="s">
        <v>344</v>
      </c>
      <c r="L386">
        <v>503</v>
      </c>
      <c r="M386">
        <v>284</v>
      </c>
      <c r="N386" s="1">
        <f t="shared" ref="N386:N449" si="12">1-O386</f>
        <v>0.43538767395626243</v>
      </c>
      <c r="O386" s="1">
        <f t="shared" ref="O386:O449" si="13">M386/L386</f>
        <v>0.56461232604373757</v>
      </c>
    </row>
    <row r="387" spans="1:15" x14ac:dyDescent="0.25">
      <c r="A387" t="s">
        <v>986</v>
      </c>
      <c r="B387" t="s">
        <v>987</v>
      </c>
      <c r="C387" t="s">
        <v>948</v>
      </c>
      <c r="D387">
        <v>1.45</v>
      </c>
      <c r="E387">
        <v>3.95</v>
      </c>
      <c r="F387">
        <v>2.95</v>
      </c>
      <c r="G387">
        <v>15.5</v>
      </c>
      <c r="H387">
        <v>67</v>
      </c>
      <c r="I387">
        <v>1.5</v>
      </c>
      <c r="J387">
        <v>1.5</v>
      </c>
      <c r="K387" t="s">
        <v>344</v>
      </c>
      <c r="L387">
        <v>503</v>
      </c>
      <c r="M387">
        <v>284</v>
      </c>
      <c r="N387" s="1">
        <f t="shared" si="12"/>
        <v>0.43538767395626243</v>
      </c>
      <c r="O387" s="1">
        <f t="shared" si="13"/>
        <v>0.56461232604373757</v>
      </c>
    </row>
    <row r="388" spans="1:15" x14ac:dyDescent="0.25">
      <c r="A388" t="s">
        <v>988</v>
      </c>
      <c r="B388" t="s">
        <v>989</v>
      </c>
      <c r="C388" t="s">
        <v>990</v>
      </c>
      <c r="D388">
        <v>1.44</v>
      </c>
      <c r="E388">
        <v>2.2400000000000002</v>
      </c>
      <c r="F388">
        <v>2.93</v>
      </c>
      <c r="G388">
        <v>0</v>
      </c>
      <c r="H388">
        <v>94.5</v>
      </c>
      <c r="I388">
        <v>1.5</v>
      </c>
      <c r="J388">
        <v>0</v>
      </c>
      <c r="K388" t="s">
        <v>344</v>
      </c>
      <c r="L388">
        <v>503</v>
      </c>
      <c r="M388">
        <v>286</v>
      </c>
      <c r="N388" s="1">
        <f t="shared" si="12"/>
        <v>0.4314115308151093</v>
      </c>
      <c r="O388" s="1">
        <f t="shared" si="13"/>
        <v>0.5685884691848907</v>
      </c>
    </row>
    <row r="389" spans="1:15" x14ac:dyDescent="0.25">
      <c r="A389" t="s">
        <v>991</v>
      </c>
      <c r="B389" t="s">
        <v>992</v>
      </c>
      <c r="C389" t="s">
        <v>993</v>
      </c>
      <c r="D389">
        <v>1.44</v>
      </c>
      <c r="E389">
        <v>1.84</v>
      </c>
      <c r="F389">
        <v>2.93</v>
      </c>
      <c r="G389">
        <v>0</v>
      </c>
      <c r="H389">
        <v>87</v>
      </c>
      <c r="I389">
        <v>1</v>
      </c>
      <c r="J389">
        <v>0</v>
      </c>
      <c r="K389" t="s">
        <v>344</v>
      </c>
      <c r="L389">
        <v>503</v>
      </c>
      <c r="M389">
        <v>286</v>
      </c>
      <c r="N389" s="1">
        <f t="shared" si="12"/>
        <v>0.4314115308151093</v>
      </c>
      <c r="O389" s="1">
        <f t="shared" si="13"/>
        <v>0.5685884691848907</v>
      </c>
    </row>
    <row r="390" spans="1:15" x14ac:dyDescent="0.25">
      <c r="A390" t="s">
        <v>994</v>
      </c>
      <c r="B390" t="s">
        <v>995</v>
      </c>
      <c r="C390" t="s">
        <v>996</v>
      </c>
      <c r="D390">
        <v>1.41</v>
      </c>
      <c r="E390">
        <v>0.78</v>
      </c>
      <c r="F390">
        <v>2.86</v>
      </c>
      <c r="G390">
        <v>0</v>
      </c>
      <c r="H390">
        <v>99</v>
      </c>
      <c r="I390">
        <v>1</v>
      </c>
      <c r="J390">
        <v>0</v>
      </c>
      <c r="K390" t="s">
        <v>344</v>
      </c>
      <c r="L390">
        <v>503</v>
      </c>
      <c r="M390">
        <v>287</v>
      </c>
      <c r="N390" s="1">
        <f t="shared" si="12"/>
        <v>0.42942345924453285</v>
      </c>
      <c r="O390" s="1">
        <f t="shared" si="13"/>
        <v>0.57057654075546715</v>
      </c>
    </row>
    <row r="391" spans="1:15" x14ac:dyDescent="0.25">
      <c r="A391" t="s">
        <v>997</v>
      </c>
      <c r="B391" t="s">
        <v>998</v>
      </c>
      <c r="C391" t="s">
        <v>999</v>
      </c>
      <c r="D391">
        <v>1.41</v>
      </c>
      <c r="E391">
        <v>3.4</v>
      </c>
      <c r="F391">
        <v>2.86</v>
      </c>
      <c r="G391">
        <v>0</v>
      </c>
      <c r="H391">
        <v>56.5</v>
      </c>
      <c r="I391">
        <v>1</v>
      </c>
      <c r="J391">
        <v>0</v>
      </c>
      <c r="K391" t="s">
        <v>344</v>
      </c>
      <c r="L391">
        <v>503</v>
      </c>
      <c r="M391">
        <v>289</v>
      </c>
      <c r="N391" s="1">
        <f t="shared" si="12"/>
        <v>0.42544731610337971</v>
      </c>
      <c r="O391" s="1">
        <f t="shared" si="13"/>
        <v>0.57455268389662029</v>
      </c>
    </row>
    <row r="392" spans="1:15" x14ac:dyDescent="0.25">
      <c r="A392" t="s">
        <v>1000</v>
      </c>
      <c r="B392" t="s">
        <v>1001</v>
      </c>
      <c r="C392" t="s">
        <v>539</v>
      </c>
      <c r="D392">
        <v>1.4</v>
      </c>
      <c r="E392">
        <v>2.56</v>
      </c>
      <c r="F392">
        <v>2.83</v>
      </c>
      <c r="G392">
        <v>0</v>
      </c>
      <c r="H392">
        <v>76</v>
      </c>
      <c r="I392">
        <v>1</v>
      </c>
      <c r="J392">
        <v>0</v>
      </c>
      <c r="K392" t="s">
        <v>344</v>
      </c>
      <c r="L392">
        <v>503</v>
      </c>
      <c r="M392">
        <v>291</v>
      </c>
      <c r="N392" s="1">
        <f t="shared" si="12"/>
        <v>0.42147117296222669</v>
      </c>
      <c r="O392" s="1">
        <f t="shared" si="13"/>
        <v>0.57852882703777331</v>
      </c>
    </row>
    <row r="393" spans="1:15" x14ac:dyDescent="0.25">
      <c r="A393" t="s">
        <v>1002</v>
      </c>
      <c r="B393" t="s">
        <v>1003</v>
      </c>
      <c r="C393" t="s">
        <v>301</v>
      </c>
      <c r="D393">
        <v>1.39</v>
      </c>
      <c r="E393">
        <v>2.13</v>
      </c>
      <c r="F393">
        <v>2.82</v>
      </c>
      <c r="G393">
        <v>10.46</v>
      </c>
      <c r="H393">
        <v>71.03</v>
      </c>
      <c r="I393">
        <v>1.87</v>
      </c>
      <c r="J393">
        <v>0</v>
      </c>
      <c r="K393" t="s">
        <v>344</v>
      </c>
      <c r="L393">
        <v>503</v>
      </c>
      <c r="M393">
        <v>293</v>
      </c>
      <c r="N393" s="1">
        <f t="shared" si="12"/>
        <v>0.41749502982107356</v>
      </c>
      <c r="O393" s="1">
        <f t="shared" si="13"/>
        <v>0.58250497017892644</v>
      </c>
    </row>
    <row r="394" spans="1:15" x14ac:dyDescent="0.25">
      <c r="A394" t="s">
        <v>1004</v>
      </c>
      <c r="B394" t="s">
        <v>1005</v>
      </c>
      <c r="D394">
        <v>1.39</v>
      </c>
      <c r="E394">
        <v>0</v>
      </c>
      <c r="F394">
        <v>2.82</v>
      </c>
      <c r="G394">
        <v>19.329999999999998</v>
      </c>
      <c r="H394">
        <v>61.05</v>
      </c>
      <c r="I394">
        <v>3.65</v>
      </c>
      <c r="J394">
        <v>0</v>
      </c>
      <c r="K394" t="s">
        <v>344</v>
      </c>
      <c r="L394">
        <v>503</v>
      </c>
      <c r="M394">
        <v>293</v>
      </c>
      <c r="N394" s="1">
        <f t="shared" si="12"/>
        <v>0.41749502982107356</v>
      </c>
      <c r="O394" s="1">
        <f t="shared" si="13"/>
        <v>0.58250497017892644</v>
      </c>
    </row>
    <row r="395" spans="1:15" x14ac:dyDescent="0.25">
      <c r="A395" t="s">
        <v>1006</v>
      </c>
      <c r="B395" t="s">
        <v>1007</v>
      </c>
      <c r="D395">
        <v>1.36</v>
      </c>
      <c r="E395">
        <v>0</v>
      </c>
      <c r="F395">
        <v>2.77</v>
      </c>
      <c r="G395">
        <v>11</v>
      </c>
      <c r="H395">
        <v>70</v>
      </c>
      <c r="I395">
        <v>4</v>
      </c>
      <c r="J395">
        <v>0</v>
      </c>
      <c r="K395" t="s">
        <v>344</v>
      </c>
      <c r="L395">
        <v>503</v>
      </c>
      <c r="M395">
        <v>294</v>
      </c>
      <c r="N395" s="1">
        <f t="shared" si="12"/>
        <v>0.41550695825049699</v>
      </c>
      <c r="O395" s="1">
        <f t="shared" si="13"/>
        <v>0.58449304174950301</v>
      </c>
    </row>
    <row r="396" spans="1:15" x14ac:dyDescent="0.25">
      <c r="A396" t="s">
        <v>1008</v>
      </c>
      <c r="B396" t="s">
        <v>1009</v>
      </c>
      <c r="C396" t="s">
        <v>1010</v>
      </c>
      <c r="D396">
        <v>1.36</v>
      </c>
      <c r="E396">
        <v>2.92</v>
      </c>
      <c r="F396">
        <v>2.76</v>
      </c>
      <c r="G396">
        <v>13.5</v>
      </c>
      <c r="H396">
        <v>84</v>
      </c>
      <c r="I396">
        <v>1</v>
      </c>
      <c r="J396">
        <v>0</v>
      </c>
      <c r="K396" t="s">
        <v>344</v>
      </c>
      <c r="L396">
        <v>503</v>
      </c>
      <c r="M396">
        <v>295</v>
      </c>
      <c r="N396" s="1">
        <f t="shared" si="12"/>
        <v>0.41351888667992043</v>
      </c>
      <c r="O396" s="1">
        <f t="shared" si="13"/>
        <v>0.58648111332007957</v>
      </c>
    </row>
    <row r="397" spans="1:15" x14ac:dyDescent="0.25">
      <c r="A397" t="s">
        <v>1011</v>
      </c>
      <c r="B397" t="s">
        <v>1012</v>
      </c>
      <c r="C397" t="s">
        <v>1013</v>
      </c>
      <c r="D397">
        <v>1.36</v>
      </c>
      <c r="E397">
        <v>1.79</v>
      </c>
      <c r="F397">
        <v>2.75</v>
      </c>
      <c r="G397">
        <v>3.1</v>
      </c>
      <c r="H397">
        <v>85</v>
      </c>
      <c r="I397">
        <v>1.4</v>
      </c>
      <c r="J397">
        <v>0</v>
      </c>
      <c r="K397" t="s">
        <v>344</v>
      </c>
      <c r="L397">
        <v>503</v>
      </c>
      <c r="M397">
        <v>295</v>
      </c>
      <c r="N397" s="1">
        <f t="shared" si="12"/>
        <v>0.41351888667992043</v>
      </c>
      <c r="O397" s="1">
        <f t="shared" si="13"/>
        <v>0.58648111332007957</v>
      </c>
    </row>
    <row r="398" spans="1:15" x14ac:dyDescent="0.25">
      <c r="A398" t="s">
        <v>1014</v>
      </c>
      <c r="B398" t="s">
        <v>1015</v>
      </c>
      <c r="C398" t="s">
        <v>1016</v>
      </c>
      <c r="D398">
        <v>1.36</v>
      </c>
      <c r="E398">
        <v>2.25</v>
      </c>
      <c r="F398">
        <v>2.75</v>
      </c>
      <c r="G398">
        <v>3.1</v>
      </c>
      <c r="H398">
        <v>85</v>
      </c>
      <c r="I398">
        <v>1.4</v>
      </c>
      <c r="J398">
        <v>0</v>
      </c>
      <c r="K398" t="s">
        <v>344</v>
      </c>
      <c r="L398">
        <v>503</v>
      </c>
      <c r="M398">
        <v>295</v>
      </c>
      <c r="N398" s="1">
        <f t="shared" si="12"/>
        <v>0.41351888667992043</v>
      </c>
      <c r="O398" s="1">
        <f t="shared" si="13"/>
        <v>0.58648111332007957</v>
      </c>
    </row>
    <row r="399" spans="1:15" x14ac:dyDescent="0.25">
      <c r="A399" t="s">
        <v>1017</v>
      </c>
      <c r="B399" t="s">
        <v>1018</v>
      </c>
      <c r="D399">
        <v>1.36</v>
      </c>
      <c r="E399">
        <v>0</v>
      </c>
      <c r="F399">
        <v>2.76</v>
      </c>
      <c r="G399">
        <v>11</v>
      </c>
      <c r="H399">
        <v>70</v>
      </c>
      <c r="I399">
        <v>4</v>
      </c>
      <c r="J399">
        <v>0</v>
      </c>
      <c r="K399" t="s">
        <v>344</v>
      </c>
      <c r="L399">
        <v>503</v>
      </c>
      <c r="M399">
        <v>295</v>
      </c>
      <c r="N399" s="1">
        <f t="shared" si="12"/>
        <v>0.41351888667992043</v>
      </c>
      <c r="O399" s="1">
        <f t="shared" si="13"/>
        <v>0.58648111332007957</v>
      </c>
    </row>
    <row r="400" spans="1:15" x14ac:dyDescent="0.25">
      <c r="A400" t="s">
        <v>1019</v>
      </c>
      <c r="B400" t="s">
        <v>1020</v>
      </c>
      <c r="C400" t="s">
        <v>1021</v>
      </c>
      <c r="D400">
        <v>1.32</v>
      </c>
      <c r="E400">
        <v>1.49</v>
      </c>
      <c r="F400">
        <v>2.68</v>
      </c>
      <c r="G400">
        <v>7.16</v>
      </c>
      <c r="H400">
        <v>82.43</v>
      </c>
      <c r="I400">
        <v>4.5999999999999996</v>
      </c>
      <c r="J400">
        <v>5.13</v>
      </c>
      <c r="K400" t="s">
        <v>344</v>
      </c>
      <c r="L400">
        <v>503</v>
      </c>
      <c r="M400">
        <v>301</v>
      </c>
      <c r="N400" s="1">
        <f t="shared" si="12"/>
        <v>0.40159045725646125</v>
      </c>
      <c r="O400" s="1">
        <f t="shared" si="13"/>
        <v>0.59840954274353875</v>
      </c>
    </row>
    <row r="401" spans="1:15" x14ac:dyDescent="0.25">
      <c r="A401" t="s">
        <v>1022</v>
      </c>
      <c r="B401" t="s">
        <v>1023</v>
      </c>
      <c r="C401" t="s">
        <v>301</v>
      </c>
      <c r="D401">
        <v>1.31</v>
      </c>
      <c r="E401">
        <v>2.14</v>
      </c>
      <c r="F401">
        <v>2.67</v>
      </c>
      <c r="G401">
        <v>19.64</v>
      </c>
      <c r="H401">
        <v>70.17</v>
      </c>
      <c r="I401">
        <v>1.8</v>
      </c>
      <c r="J401">
        <v>0</v>
      </c>
      <c r="K401" t="s">
        <v>344</v>
      </c>
      <c r="L401">
        <v>503</v>
      </c>
      <c r="M401">
        <v>302</v>
      </c>
      <c r="N401" s="1">
        <f t="shared" si="12"/>
        <v>0.39960238568588469</v>
      </c>
      <c r="O401" s="1">
        <f t="shared" si="13"/>
        <v>0.60039761431411531</v>
      </c>
    </row>
    <row r="402" spans="1:15" x14ac:dyDescent="0.25">
      <c r="A402" t="s">
        <v>1024</v>
      </c>
      <c r="B402" t="s">
        <v>1025</v>
      </c>
      <c r="C402" t="s">
        <v>301</v>
      </c>
      <c r="D402">
        <v>1.31</v>
      </c>
      <c r="E402">
        <v>2.13</v>
      </c>
      <c r="F402">
        <v>2.67</v>
      </c>
      <c r="G402">
        <v>19.64</v>
      </c>
      <c r="H402">
        <v>70.17</v>
      </c>
      <c r="I402">
        <v>1.8</v>
      </c>
      <c r="J402">
        <v>0</v>
      </c>
      <c r="K402" t="s">
        <v>344</v>
      </c>
      <c r="L402">
        <v>503</v>
      </c>
      <c r="M402">
        <v>302</v>
      </c>
      <c r="N402" s="1">
        <f t="shared" si="12"/>
        <v>0.39960238568588469</v>
      </c>
      <c r="O402" s="1">
        <f t="shared" si="13"/>
        <v>0.60039761431411531</v>
      </c>
    </row>
    <row r="403" spans="1:15" x14ac:dyDescent="0.25">
      <c r="A403" t="s">
        <v>1026</v>
      </c>
      <c r="B403" t="s">
        <v>1027</v>
      </c>
      <c r="C403" t="s">
        <v>1028</v>
      </c>
      <c r="D403">
        <v>1.3</v>
      </c>
      <c r="E403">
        <v>1.19</v>
      </c>
      <c r="F403">
        <v>2.64</v>
      </c>
      <c r="G403">
        <v>0</v>
      </c>
      <c r="H403">
        <v>93.74</v>
      </c>
      <c r="I403">
        <v>6.28</v>
      </c>
      <c r="J403">
        <v>0</v>
      </c>
      <c r="K403" t="s">
        <v>344</v>
      </c>
      <c r="L403">
        <v>503</v>
      </c>
      <c r="M403">
        <v>303</v>
      </c>
      <c r="N403" s="1">
        <f t="shared" si="12"/>
        <v>0.39761431411530812</v>
      </c>
      <c r="O403" s="1">
        <f t="shared" si="13"/>
        <v>0.60238568588469188</v>
      </c>
    </row>
    <row r="404" spans="1:15" x14ac:dyDescent="0.25">
      <c r="A404" t="s">
        <v>1029</v>
      </c>
      <c r="B404" t="s">
        <v>1030</v>
      </c>
      <c r="C404" t="s">
        <v>943</v>
      </c>
      <c r="D404">
        <v>1.27</v>
      </c>
      <c r="E404">
        <v>0.92</v>
      </c>
      <c r="F404">
        <v>2.57</v>
      </c>
      <c r="G404">
        <v>0</v>
      </c>
      <c r="H404">
        <v>91.77</v>
      </c>
      <c r="I404">
        <v>8.23</v>
      </c>
      <c r="J404">
        <v>0</v>
      </c>
      <c r="K404" t="s">
        <v>344</v>
      </c>
      <c r="L404">
        <v>503</v>
      </c>
      <c r="M404">
        <v>307</v>
      </c>
      <c r="N404" s="1">
        <f t="shared" si="12"/>
        <v>0.38966202783300197</v>
      </c>
      <c r="O404" s="1">
        <f t="shared" si="13"/>
        <v>0.61033797216699803</v>
      </c>
    </row>
    <row r="405" spans="1:15" x14ac:dyDescent="0.25">
      <c r="A405" t="s">
        <v>1031</v>
      </c>
      <c r="B405" t="s">
        <v>1032</v>
      </c>
      <c r="C405" t="s">
        <v>1033</v>
      </c>
      <c r="D405">
        <v>1.27</v>
      </c>
      <c r="E405">
        <v>1.62</v>
      </c>
      <c r="F405">
        <v>2.58</v>
      </c>
      <c r="G405">
        <v>1.75</v>
      </c>
      <c r="H405">
        <v>92.5</v>
      </c>
      <c r="I405">
        <v>1.45</v>
      </c>
      <c r="J405">
        <v>0</v>
      </c>
      <c r="K405" t="s">
        <v>344</v>
      </c>
      <c r="L405">
        <v>503</v>
      </c>
      <c r="M405">
        <v>307</v>
      </c>
      <c r="N405" s="1">
        <f t="shared" si="12"/>
        <v>0.38966202783300197</v>
      </c>
      <c r="O405" s="1">
        <f t="shared" si="13"/>
        <v>0.61033797216699803</v>
      </c>
    </row>
    <row r="406" spans="1:15" x14ac:dyDescent="0.25">
      <c r="A406" t="s">
        <v>1034</v>
      </c>
      <c r="B406" t="s">
        <v>1035</v>
      </c>
      <c r="C406" t="s">
        <v>539</v>
      </c>
      <c r="D406">
        <v>1.24</v>
      </c>
      <c r="E406">
        <v>2.56</v>
      </c>
      <c r="F406">
        <v>2.5299999999999998</v>
      </c>
      <c r="G406">
        <v>5.64</v>
      </c>
      <c r="H406">
        <v>75.06</v>
      </c>
      <c r="I406">
        <v>1.25</v>
      </c>
      <c r="J406">
        <v>1.56</v>
      </c>
      <c r="K406" t="s">
        <v>344</v>
      </c>
      <c r="L406">
        <v>503</v>
      </c>
      <c r="M406">
        <v>308</v>
      </c>
      <c r="N406" s="1">
        <f t="shared" si="12"/>
        <v>0.3876739562624254</v>
      </c>
      <c r="O406" s="1">
        <f t="shared" si="13"/>
        <v>0.6123260437375746</v>
      </c>
    </row>
    <row r="407" spans="1:15" x14ac:dyDescent="0.25">
      <c r="A407" t="s">
        <v>1036</v>
      </c>
      <c r="B407" t="s">
        <v>1037</v>
      </c>
      <c r="C407" t="s">
        <v>1038</v>
      </c>
      <c r="D407">
        <v>1.22</v>
      </c>
      <c r="E407">
        <v>0.81</v>
      </c>
      <c r="F407">
        <v>2.4700000000000002</v>
      </c>
      <c r="G407">
        <v>0</v>
      </c>
      <c r="H407">
        <v>99.01</v>
      </c>
      <c r="I407">
        <v>0.99</v>
      </c>
      <c r="J407">
        <v>0</v>
      </c>
      <c r="K407" t="s">
        <v>344</v>
      </c>
      <c r="L407">
        <v>503</v>
      </c>
      <c r="M407">
        <v>309</v>
      </c>
      <c r="N407" s="1">
        <f t="shared" si="12"/>
        <v>0.38568588469184895</v>
      </c>
      <c r="O407" s="1">
        <f t="shared" si="13"/>
        <v>0.61431411530815105</v>
      </c>
    </row>
    <row r="408" spans="1:15" x14ac:dyDescent="0.25">
      <c r="A408" t="s">
        <v>1039</v>
      </c>
      <c r="B408" t="s">
        <v>1040</v>
      </c>
      <c r="C408" t="s">
        <v>539</v>
      </c>
      <c r="D408">
        <v>1.22</v>
      </c>
      <c r="E408">
        <v>2.5499999999999998</v>
      </c>
      <c r="F408">
        <v>2.48</v>
      </c>
      <c r="G408">
        <v>3.3</v>
      </c>
      <c r="H408">
        <v>77.5</v>
      </c>
      <c r="I408">
        <v>1.5</v>
      </c>
      <c r="J408">
        <v>1</v>
      </c>
      <c r="K408" t="s">
        <v>344</v>
      </c>
      <c r="L408">
        <v>503</v>
      </c>
      <c r="M408">
        <v>309</v>
      </c>
      <c r="N408" s="1">
        <f t="shared" si="12"/>
        <v>0.38568588469184895</v>
      </c>
      <c r="O408" s="1">
        <f t="shared" si="13"/>
        <v>0.61431411530815105</v>
      </c>
    </row>
    <row r="409" spans="1:15" x14ac:dyDescent="0.25">
      <c r="A409" t="s">
        <v>1041</v>
      </c>
      <c r="B409" t="s">
        <v>1042</v>
      </c>
      <c r="C409" t="s">
        <v>892</v>
      </c>
      <c r="D409">
        <v>1.21</v>
      </c>
      <c r="E409">
        <v>2.56</v>
      </c>
      <c r="F409">
        <v>2.46</v>
      </c>
      <c r="G409">
        <v>3.59</v>
      </c>
      <c r="H409">
        <v>76.97</v>
      </c>
      <c r="I409">
        <v>1.92</v>
      </c>
      <c r="J409">
        <v>1.1399999999999999</v>
      </c>
      <c r="K409" t="s">
        <v>344</v>
      </c>
      <c r="L409">
        <v>503</v>
      </c>
      <c r="M409">
        <v>309</v>
      </c>
      <c r="N409" s="1">
        <f t="shared" si="12"/>
        <v>0.38568588469184895</v>
      </c>
      <c r="O409" s="1">
        <f t="shared" si="13"/>
        <v>0.61431411530815105</v>
      </c>
    </row>
    <row r="410" spans="1:15" x14ac:dyDescent="0.25">
      <c r="A410" t="s">
        <v>1043</v>
      </c>
      <c r="B410" t="s">
        <v>1044</v>
      </c>
      <c r="C410" t="s">
        <v>539</v>
      </c>
      <c r="D410">
        <v>1.21</v>
      </c>
      <c r="E410">
        <v>2.56</v>
      </c>
      <c r="F410">
        <v>2.46</v>
      </c>
      <c r="G410">
        <v>5.08</v>
      </c>
      <c r="H410">
        <v>75.510000000000005</v>
      </c>
      <c r="I410">
        <v>1.36</v>
      </c>
      <c r="J410">
        <v>1.33</v>
      </c>
      <c r="K410" t="s">
        <v>344</v>
      </c>
      <c r="L410">
        <v>503</v>
      </c>
      <c r="M410">
        <v>309</v>
      </c>
      <c r="N410" s="1">
        <f t="shared" si="12"/>
        <v>0.38568588469184895</v>
      </c>
      <c r="O410" s="1">
        <f t="shared" si="13"/>
        <v>0.61431411530815105</v>
      </c>
    </row>
    <row r="411" spans="1:15" x14ac:dyDescent="0.25">
      <c r="A411" t="s">
        <v>1045</v>
      </c>
      <c r="B411" t="s">
        <v>1046</v>
      </c>
      <c r="C411" t="s">
        <v>1047</v>
      </c>
      <c r="D411">
        <v>1.21</v>
      </c>
      <c r="E411">
        <v>2.38</v>
      </c>
      <c r="F411">
        <v>2.46</v>
      </c>
      <c r="G411">
        <v>3.73</v>
      </c>
      <c r="H411">
        <v>77.5</v>
      </c>
      <c r="I411">
        <v>2.0099999999999998</v>
      </c>
      <c r="J411">
        <v>0</v>
      </c>
      <c r="K411" t="s">
        <v>344</v>
      </c>
      <c r="L411">
        <v>503</v>
      </c>
      <c r="M411">
        <v>309</v>
      </c>
      <c r="N411" s="1">
        <f t="shared" si="12"/>
        <v>0.38568588469184895</v>
      </c>
      <c r="O411" s="1">
        <f t="shared" si="13"/>
        <v>0.61431411530815105</v>
      </c>
    </row>
    <row r="412" spans="1:15" x14ac:dyDescent="0.25">
      <c r="A412" t="s">
        <v>1048</v>
      </c>
      <c r="B412" t="s">
        <v>1049</v>
      </c>
      <c r="C412" t="s">
        <v>913</v>
      </c>
      <c r="D412">
        <v>1.18</v>
      </c>
      <c r="E412">
        <v>1.93</v>
      </c>
      <c r="F412">
        <v>2.39</v>
      </c>
      <c r="G412">
        <v>0</v>
      </c>
      <c r="H412">
        <v>94.4</v>
      </c>
      <c r="I412">
        <v>5.6</v>
      </c>
      <c r="J412">
        <v>0</v>
      </c>
      <c r="K412" t="s">
        <v>344</v>
      </c>
      <c r="L412">
        <v>503</v>
      </c>
      <c r="M412">
        <v>314</v>
      </c>
      <c r="N412" s="1">
        <f t="shared" si="12"/>
        <v>0.37574552683896623</v>
      </c>
      <c r="O412" s="1">
        <f t="shared" si="13"/>
        <v>0.62425447316103377</v>
      </c>
    </row>
    <row r="413" spans="1:15" x14ac:dyDescent="0.25">
      <c r="A413" t="s">
        <v>1050</v>
      </c>
      <c r="B413" t="s">
        <v>1051</v>
      </c>
      <c r="C413" t="s">
        <v>913</v>
      </c>
      <c r="D413">
        <v>1.18</v>
      </c>
      <c r="E413">
        <v>1.93</v>
      </c>
      <c r="F413">
        <v>2.39</v>
      </c>
      <c r="G413">
        <v>0</v>
      </c>
      <c r="H413">
        <v>91.04</v>
      </c>
      <c r="I413">
        <v>8.9600000000000009</v>
      </c>
      <c r="J413">
        <v>0</v>
      </c>
      <c r="K413" t="s">
        <v>344</v>
      </c>
      <c r="L413">
        <v>503</v>
      </c>
      <c r="M413">
        <v>314</v>
      </c>
      <c r="N413" s="1">
        <f t="shared" si="12"/>
        <v>0.37574552683896623</v>
      </c>
      <c r="O413" s="1">
        <f t="shared" si="13"/>
        <v>0.62425447316103377</v>
      </c>
    </row>
    <row r="414" spans="1:15" x14ac:dyDescent="0.25">
      <c r="A414" t="s">
        <v>1052</v>
      </c>
      <c r="B414" t="s">
        <v>1053</v>
      </c>
      <c r="C414" t="s">
        <v>1054</v>
      </c>
      <c r="D414">
        <v>1.17</v>
      </c>
      <c r="E414">
        <v>1.41</v>
      </c>
      <c r="F414">
        <v>2.38</v>
      </c>
      <c r="G414">
        <v>8.25</v>
      </c>
      <c r="H414">
        <v>82.49</v>
      </c>
      <c r="I414">
        <v>1.01</v>
      </c>
      <c r="J414">
        <v>4.63</v>
      </c>
      <c r="K414" t="s">
        <v>344</v>
      </c>
      <c r="L414">
        <v>503</v>
      </c>
      <c r="M414">
        <v>314</v>
      </c>
      <c r="N414" s="1">
        <f t="shared" si="12"/>
        <v>0.37574552683896623</v>
      </c>
      <c r="O414" s="1">
        <f t="shared" si="13"/>
        <v>0.62425447316103377</v>
      </c>
    </row>
    <row r="415" spans="1:15" x14ac:dyDescent="0.25">
      <c r="A415" t="s">
        <v>1055</v>
      </c>
      <c r="B415" t="s">
        <v>1056</v>
      </c>
      <c r="C415" t="s">
        <v>1057</v>
      </c>
      <c r="D415">
        <v>1.17</v>
      </c>
      <c r="E415">
        <v>2.54</v>
      </c>
      <c r="F415">
        <v>2.37</v>
      </c>
      <c r="G415">
        <v>16.36</v>
      </c>
      <c r="H415">
        <v>61.81</v>
      </c>
      <c r="I415">
        <v>0.98</v>
      </c>
      <c r="J415">
        <v>2.2200000000000002</v>
      </c>
      <c r="K415" t="s">
        <v>344</v>
      </c>
      <c r="L415">
        <v>503</v>
      </c>
      <c r="M415">
        <v>314</v>
      </c>
      <c r="N415" s="1">
        <f t="shared" si="12"/>
        <v>0.37574552683896623</v>
      </c>
      <c r="O415" s="1">
        <f t="shared" si="13"/>
        <v>0.62425447316103377</v>
      </c>
    </row>
    <row r="416" spans="1:15" x14ac:dyDescent="0.25">
      <c r="A416" t="s">
        <v>1058</v>
      </c>
      <c r="B416" t="s">
        <v>1059</v>
      </c>
      <c r="C416" t="s">
        <v>1060</v>
      </c>
      <c r="D416">
        <v>1.1499999999999999</v>
      </c>
      <c r="E416">
        <v>3.16</v>
      </c>
      <c r="F416">
        <v>2.33</v>
      </c>
      <c r="G416">
        <v>0</v>
      </c>
      <c r="H416">
        <v>81.28</v>
      </c>
      <c r="I416">
        <v>9.43</v>
      </c>
      <c r="J416">
        <v>0</v>
      </c>
      <c r="K416" t="s">
        <v>344</v>
      </c>
      <c r="L416">
        <v>503</v>
      </c>
      <c r="M416">
        <v>315</v>
      </c>
      <c r="N416" s="1">
        <f t="shared" si="12"/>
        <v>0.37375745526838966</v>
      </c>
      <c r="O416" s="1">
        <f t="shared" si="13"/>
        <v>0.62624254473161034</v>
      </c>
    </row>
    <row r="417" spans="1:15" x14ac:dyDescent="0.25">
      <c r="A417" t="s">
        <v>1061</v>
      </c>
      <c r="B417" t="s">
        <v>1062</v>
      </c>
      <c r="C417" t="s">
        <v>1060</v>
      </c>
      <c r="D417">
        <v>1.1499999999999999</v>
      </c>
      <c r="E417">
        <v>3.16</v>
      </c>
      <c r="F417">
        <v>2.3199999999999998</v>
      </c>
      <c r="G417">
        <v>0</v>
      </c>
      <c r="H417">
        <v>84.98</v>
      </c>
      <c r="I417">
        <v>5.84</v>
      </c>
      <c r="J417">
        <v>0</v>
      </c>
      <c r="K417" t="s">
        <v>344</v>
      </c>
      <c r="L417">
        <v>503</v>
      </c>
      <c r="M417">
        <v>316</v>
      </c>
      <c r="N417" s="1">
        <f t="shared" si="12"/>
        <v>0.37176938369781309</v>
      </c>
      <c r="O417" s="1">
        <f t="shared" si="13"/>
        <v>0.62823061630218691</v>
      </c>
    </row>
    <row r="418" spans="1:15" x14ac:dyDescent="0.25">
      <c r="A418" t="s">
        <v>1063</v>
      </c>
      <c r="B418" t="s">
        <v>1064</v>
      </c>
      <c r="C418" t="s">
        <v>539</v>
      </c>
      <c r="D418">
        <v>1.1399999999999999</v>
      </c>
      <c r="E418">
        <v>2.56</v>
      </c>
      <c r="F418">
        <v>2.2999999999999998</v>
      </c>
      <c r="G418">
        <v>3.2</v>
      </c>
      <c r="H418">
        <v>77.5</v>
      </c>
      <c r="I418">
        <v>1.6</v>
      </c>
      <c r="J418">
        <v>1</v>
      </c>
      <c r="K418" t="s">
        <v>344</v>
      </c>
      <c r="L418">
        <v>503</v>
      </c>
      <c r="M418">
        <v>317</v>
      </c>
      <c r="N418" s="1">
        <f t="shared" si="12"/>
        <v>0.36978131212723653</v>
      </c>
      <c r="O418" s="1">
        <f t="shared" si="13"/>
        <v>0.63021868787276347</v>
      </c>
    </row>
    <row r="419" spans="1:15" x14ac:dyDescent="0.25">
      <c r="A419" t="s">
        <v>1065</v>
      </c>
      <c r="B419" t="s">
        <v>1066</v>
      </c>
      <c r="C419" t="s">
        <v>539</v>
      </c>
      <c r="D419">
        <v>1.1299999999999999</v>
      </c>
      <c r="E419">
        <v>2.56</v>
      </c>
      <c r="F419">
        <v>2.2799999999999998</v>
      </c>
      <c r="G419">
        <v>3.68</v>
      </c>
      <c r="H419">
        <v>77.2</v>
      </c>
      <c r="I419">
        <v>1.64</v>
      </c>
      <c r="J419">
        <v>1.05</v>
      </c>
      <c r="K419" t="s">
        <v>344</v>
      </c>
      <c r="L419">
        <v>503</v>
      </c>
      <c r="M419">
        <v>317</v>
      </c>
      <c r="N419" s="1">
        <f t="shared" si="12"/>
        <v>0.36978131212723653</v>
      </c>
      <c r="O419" s="1">
        <f t="shared" si="13"/>
        <v>0.63021868787276347</v>
      </c>
    </row>
    <row r="420" spans="1:15" x14ac:dyDescent="0.25">
      <c r="A420" t="s">
        <v>1067</v>
      </c>
      <c r="B420" t="s">
        <v>1068</v>
      </c>
      <c r="C420" t="s">
        <v>1060</v>
      </c>
      <c r="D420">
        <v>1.1299999999999999</v>
      </c>
      <c r="E420">
        <v>3.16</v>
      </c>
      <c r="F420">
        <v>2.29</v>
      </c>
      <c r="G420">
        <v>0</v>
      </c>
      <c r="H420">
        <v>82.34</v>
      </c>
      <c r="I420">
        <v>8.58</v>
      </c>
      <c r="J420">
        <v>0</v>
      </c>
      <c r="K420" t="s">
        <v>344</v>
      </c>
      <c r="L420">
        <v>503</v>
      </c>
      <c r="M420">
        <v>317</v>
      </c>
      <c r="N420" s="1">
        <f t="shared" si="12"/>
        <v>0.36978131212723653</v>
      </c>
      <c r="O420" s="1">
        <f t="shared" si="13"/>
        <v>0.63021868787276347</v>
      </c>
    </row>
    <row r="421" spans="1:15" x14ac:dyDescent="0.25">
      <c r="A421" t="s">
        <v>1069</v>
      </c>
      <c r="B421" t="s">
        <v>1070</v>
      </c>
      <c r="C421" t="s">
        <v>1071</v>
      </c>
      <c r="D421">
        <v>1.1299999999999999</v>
      </c>
      <c r="E421">
        <v>0.73</v>
      </c>
      <c r="F421">
        <v>2.29</v>
      </c>
      <c r="G421">
        <v>0</v>
      </c>
      <c r="H421">
        <v>98.7</v>
      </c>
      <c r="I421">
        <v>1.3</v>
      </c>
      <c r="J421">
        <v>0</v>
      </c>
      <c r="K421" t="s">
        <v>344</v>
      </c>
      <c r="L421">
        <v>503</v>
      </c>
      <c r="M421">
        <v>317</v>
      </c>
      <c r="N421" s="1">
        <f t="shared" si="12"/>
        <v>0.36978131212723653</v>
      </c>
      <c r="O421" s="1">
        <f t="shared" si="13"/>
        <v>0.63021868787276347</v>
      </c>
    </row>
    <row r="422" spans="1:15" x14ac:dyDescent="0.25">
      <c r="A422" t="s">
        <v>1072</v>
      </c>
      <c r="B422" t="s">
        <v>1073</v>
      </c>
      <c r="C422" t="s">
        <v>1074</v>
      </c>
      <c r="D422">
        <v>1.1200000000000001</v>
      </c>
      <c r="E422">
        <v>1.52</v>
      </c>
      <c r="F422">
        <v>2.2799999999999998</v>
      </c>
      <c r="G422">
        <v>0</v>
      </c>
      <c r="H422">
        <v>98.99</v>
      </c>
      <c r="I422">
        <v>0.99</v>
      </c>
      <c r="J422">
        <v>0</v>
      </c>
      <c r="K422" t="s">
        <v>344</v>
      </c>
      <c r="L422">
        <v>503</v>
      </c>
      <c r="M422">
        <v>317</v>
      </c>
      <c r="N422" s="1">
        <f t="shared" si="12"/>
        <v>0.36978131212723653</v>
      </c>
      <c r="O422" s="1">
        <f t="shared" si="13"/>
        <v>0.63021868787276347</v>
      </c>
    </row>
    <row r="423" spans="1:15" x14ac:dyDescent="0.25">
      <c r="A423" t="s">
        <v>1075</v>
      </c>
      <c r="B423" t="s">
        <v>1076</v>
      </c>
      <c r="C423" t="s">
        <v>1077</v>
      </c>
      <c r="D423">
        <v>1.1200000000000001</v>
      </c>
      <c r="E423">
        <v>0.56999999999999995</v>
      </c>
      <c r="F423">
        <v>2.2599999999999998</v>
      </c>
      <c r="G423">
        <v>0</v>
      </c>
      <c r="H423">
        <v>99.01</v>
      </c>
      <c r="I423">
        <v>0.99</v>
      </c>
      <c r="J423">
        <v>0</v>
      </c>
      <c r="K423" t="s">
        <v>344</v>
      </c>
      <c r="L423">
        <v>503</v>
      </c>
      <c r="M423">
        <v>318</v>
      </c>
      <c r="N423" s="1">
        <f t="shared" si="12"/>
        <v>0.36779324055666007</v>
      </c>
      <c r="O423" s="1">
        <f t="shared" si="13"/>
        <v>0.63220675944333993</v>
      </c>
    </row>
    <row r="424" spans="1:15" x14ac:dyDescent="0.25">
      <c r="A424" t="s">
        <v>1078</v>
      </c>
      <c r="B424" t="s">
        <v>1079</v>
      </c>
      <c r="C424" t="s">
        <v>1077</v>
      </c>
      <c r="D424">
        <v>1.1200000000000001</v>
      </c>
      <c r="E424">
        <v>0.23</v>
      </c>
      <c r="F424">
        <v>2.2599999999999998</v>
      </c>
      <c r="G424">
        <v>0</v>
      </c>
      <c r="H424">
        <v>99.01</v>
      </c>
      <c r="I424">
        <v>0.99</v>
      </c>
      <c r="J424">
        <v>0</v>
      </c>
      <c r="K424" t="s">
        <v>344</v>
      </c>
      <c r="L424">
        <v>503</v>
      </c>
      <c r="M424">
        <v>318</v>
      </c>
      <c r="N424" s="1">
        <f t="shared" si="12"/>
        <v>0.36779324055666007</v>
      </c>
      <c r="O424" s="1">
        <f t="shared" si="13"/>
        <v>0.63220675944333993</v>
      </c>
    </row>
    <row r="425" spans="1:15" x14ac:dyDescent="0.25">
      <c r="A425" t="s">
        <v>1080</v>
      </c>
      <c r="B425" t="s">
        <v>1081</v>
      </c>
      <c r="C425" t="s">
        <v>1082</v>
      </c>
      <c r="D425">
        <v>1.1200000000000001</v>
      </c>
      <c r="E425">
        <v>1.61</v>
      </c>
      <c r="F425">
        <v>2.27</v>
      </c>
      <c r="G425">
        <v>0</v>
      </c>
      <c r="H425">
        <v>89.32</v>
      </c>
      <c r="I425">
        <v>2.71</v>
      </c>
      <c r="J425">
        <v>0</v>
      </c>
      <c r="K425" t="s">
        <v>344</v>
      </c>
      <c r="L425">
        <v>503</v>
      </c>
      <c r="M425">
        <v>318</v>
      </c>
      <c r="N425" s="1">
        <f t="shared" si="12"/>
        <v>0.36779324055666007</v>
      </c>
      <c r="O425" s="1">
        <f t="shared" si="13"/>
        <v>0.63220675944333993</v>
      </c>
    </row>
    <row r="426" spans="1:15" x14ac:dyDescent="0.25">
      <c r="A426" t="s">
        <v>1083</v>
      </c>
      <c r="B426" t="s">
        <v>1076</v>
      </c>
      <c r="C426" t="s">
        <v>1084</v>
      </c>
      <c r="D426">
        <v>1.1200000000000001</v>
      </c>
      <c r="E426">
        <v>0.46</v>
      </c>
      <c r="F426">
        <v>2.2599999999999998</v>
      </c>
      <c r="G426">
        <v>0</v>
      </c>
      <c r="H426">
        <v>99</v>
      </c>
      <c r="I426">
        <v>1</v>
      </c>
      <c r="J426">
        <v>0</v>
      </c>
      <c r="K426" t="s">
        <v>344</v>
      </c>
      <c r="L426">
        <v>503</v>
      </c>
      <c r="M426">
        <v>318</v>
      </c>
      <c r="N426" s="1">
        <f t="shared" si="12"/>
        <v>0.36779324055666007</v>
      </c>
      <c r="O426" s="1">
        <f t="shared" si="13"/>
        <v>0.63220675944333993</v>
      </c>
    </row>
    <row r="427" spans="1:15" x14ac:dyDescent="0.25">
      <c r="A427" t="s">
        <v>1085</v>
      </c>
      <c r="B427" t="s">
        <v>1086</v>
      </c>
      <c r="C427" t="s">
        <v>913</v>
      </c>
      <c r="D427">
        <v>1.1000000000000001</v>
      </c>
      <c r="E427">
        <v>1.93</v>
      </c>
      <c r="F427">
        <v>2.23</v>
      </c>
      <c r="G427">
        <v>0</v>
      </c>
      <c r="H427">
        <v>90.08</v>
      </c>
      <c r="I427">
        <v>9.92</v>
      </c>
      <c r="J427">
        <v>0</v>
      </c>
      <c r="K427" t="s">
        <v>344</v>
      </c>
      <c r="L427">
        <v>503</v>
      </c>
      <c r="M427">
        <v>319</v>
      </c>
      <c r="N427" s="1">
        <f t="shared" si="12"/>
        <v>0.36580516898608351</v>
      </c>
      <c r="O427" s="1">
        <f t="shared" si="13"/>
        <v>0.63419483101391649</v>
      </c>
    </row>
    <row r="428" spans="1:15" x14ac:dyDescent="0.25">
      <c r="A428" t="s">
        <v>1087</v>
      </c>
      <c r="B428" t="s">
        <v>1088</v>
      </c>
      <c r="C428" t="s">
        <v>1082</v>
      </c>
      <c r="D428">
        <v>1.0900000000000001</v>
      </c>
      <c r="E428">
        <v>1.62</v>
      </c>
      <c r="F428">
        <v>2.21</v>
      </c>
      <c r="G428">
        <v>0</v>
      </c>
      <c r="H428">
        <v>86.34</v>
      </c>
      <c r="I428">
        <v>2.71</v>
      </c>
      <c r="J428">
        <v>0</v>
      </c>
      <c r="K428" t="s">
        <v>344</v>
      </c>
      <c r="L428">
        <v>503</v>
      </c>
      <c r="M428">
        <v>320</v>
      </c>
      <c r="N428" s="1">
        <f t="shared" si="12"/>
        <v>0.36381709741550694</v>
      </c>
      <c r="O428" s="1">
        <f t="shared" si="13"/>
        <v>0.63618290258449306</v>
      </c>
    </row>
    <row r="429" spans="1:15" x14ac:dyDescent="0.25">
      <c r="A429" t="s">
        <v>1089</v>
      </c>
      <c r="B429" t="s">
        <v>1090</v>
      </c>
      <c r="C429" t="s">
        <v>1091</v>
      </c>
      <c r="D429">
        <v>1.0900000000000001</v>
      </c>
      <c r="E429">
        <v>1.63</v>
      </c>
      <c r="F429">
        <v>2.2200000000000002</v>
      </c>
      <c r="G429">
        <v>2.1</v>
      </c>
      <c r="H429">
        <v>82.21</v>
      </c>
      <c r="I429">
        <v>1.79</v>
      </c>
      <c r="J429">
        <v>0</v>
      </c>
      <c r="K429" t="s">
        <v>344</v>
      </c>
      <c r="L429">
        <v>503</v>
      </c>
      <c r="M429">
        <v>320</v>
      </c>
      <c r="N429" s="1">
        <f t="shared" si="12"/>
        <v>0.36381709741550694</v>
      </c>
      <c r="O429" s="1">
        <f t="shared" si="13"/>
        <v>0.63618290258449306</v>
      </c>
    </row>
    <row r="430" spans="1:15" x14ac:dyDescent="0.25">
      <c r="A430" t="s">
        <v>1092</v>
      </c>
      <c r="B430" t="s">
        <v>1093</v>
      </c>
      <c r="C430" t="s">
        <v>1094</v>
      </c>
      <c r="D430">
        <v>1.06</v>
      </c>
      <c r="E430">
        <v>1.71</v>
      </c>
      <c r="F430">
        <v>2.15</v>
      </c>
      <c r="G430">
        <v>0</v>
      </c>
      <c r="H430">
        <v>90</v>
      </c>
      <c r="I430">
        <v>10</v>
      </c>
      <c r="J430">
        <v>0</v>
      </c>
      <c r="K430" t="s">
        <v>344</v>
      </c>
      <c r="L430">
        <v>503</v>
      </c>
      <c r="M430">
        <v>323</v>
      </c>
      <c r="N430" s="1">
        <f t="shared" si="12"/>
        <v>0.35785288270377735</v>
      </c>
      <c r="O430" s="1">
        <f t="shared" si="13"/>
        <v>0.64214711729622265</v>
      </c>
    </row>
    <row r="431" spans="1:15" x14ac:dyDescent="0.25">
      <c r="A431" t="s">
        <v>1095</v>
      </c>
      <c r="B431" t="s">
        <v>1096</v>
      </c>
      <c r="C431" t="s">
        <v>1097</v>
      </c>
      <c r="D431">
        <v>1.06</v>
      </c>
      <c r="E431">
        <v>1.07</v>
      </c>
      <c r="F431">
        <v>2.15</v>
      </c>
      <c r="G431">
        <v>0</v>
      </c>
      <c r="H431">
        <v>91.88</v>
      </c>
      <c r="I431">
        <v>1.1000000000000001</v>
      </c>
      <c r="J431">
        <v>2.0499999999999998</v>
      </c>
      <c r="K431" t="s">
        <v>344</v>
      </c>
      <c r="L431">
        <v>503</v>
      </c>
      <c r="M431">
        <v>325</v>
      </c>
      <c r="N431" s="1">
        <f t="shared" si="12"/>
        <v>0.35387673956262422</v>
      </c>
      <c r="O431" s="1">
        <f t="shared" si="13"/>
        <v>0.64612326043737578</v>
      </c>
    </row>
    <row r="432" spans="1:15" x14ac:dyDescent="0.25">
      <c r="A432" t="s">
        <v>1098</v>
      </c>
      <c r="B432" t="s">
        <v>1099</v>
      </c>
      <c r="C432" t="s">
        <v>301</v>
      </c>
      <c r="D432">
        <v>1.06</v>
      </c>
      <c r="E432">
        <v>2.13</v>
      </c>
      <c r="F432">
        <v>2.15</v>
      </c>
      <c r="G432">
        <v>10.01</v>
      </c>
      <c r="H432">
        <v>78.38</v>
      </c>
      <c r="I432">
        <v>1.9</v>
      </c>
      <c r="J432">
        <v>0</v>
      </c>
      <c r="K432" t="s">
        <v>344</v>
      </c>
      <c r="L432">
        <v>503</v>
      </c>
      <c r="M432">
        <v>325</v>
      </c>
      <c r="N432" s="1">
        <f t="shared" si="12"/>
        <v>0.35387673956262422</v>
      </c>
      <c r="O432" s="1">
        <f t="shared" si="13"/>
        <v>0.64612326043737578</v>
      </c>
    </row>
    <row r="433" spans="1:15" x14ac:dyDescent="0.25">
      <c r="A433" t="s">
        <v>1100</v>
      </c>
      <c r="B433" t="s">
        <v>1101</v>
      </c>
      <c r="C433" t="s">
        <v>1102</v>
      </c>
      <c r="D433">
        <v>1.05</v>
      </c>
      <c r="E433">
        <v>1.5</v>
      </c>
      <c r="F433">
        <v>2.14</v>
      </c>
      <c r="G433">
        <v>0</v>
      </c>
      <c r="H433">
        <v>98.54</v>
      </c>
      <c r="I433">
        <v>1.46</v>
      </c>
      <c r="J433">
        <v>0</v>
      </c>
      <c r="K433" t="s">
        <v>344</v>
      </c>
      <c r="L433">
        <v>503</v>
      </c>
      <c r="M433">
        <v>325</v>
      </c>
      <c r="N433" s="1">
        <f t="shared" si="12"/>
        <v>0.35387673956262422</v>
      </c>
      <c r="O433" s="1">
        <f t="shared" si="13"/>
        <v>0.64612326043737578</v>
      </c>
    </row>
    <row r="434" spans="1:15" x14ac:dyDescent="0.25">
      <c r="A434" t="s">
        <v>1103</v>
      </c>
      <c r="B434" t="s">
        <v>1104</v>
      </c>
      <c r="D434">
        <v>1.05</v>
      </c>
      <c r="F434">
        <v>2.12</v>
      </c>
      <c r="G434">
        <v>11</v>
      </c>
      <c r="H434">
        <v>84</v>
      </c>
      <c r="I434">
        <v>5</v>
      </c>
      <c r="J434">
        <v>6.8</v>
      </c>
      <c r="K434" t="s">
        <v>344</v>
      </c>
      <c r="L434">
        <v>503</v>
      </c>
      <c r="M434">
        <v>326</v>
      </c>
      <c r="N434" s="1">
        <f t="shared" si="12"/>
        <v>0.35188866799204777</v>
      </c>
      <c r="O434" s="1">
        <f t="shared" si="13"/>
        <v>0.64811133200795223</v>
      </c>
    </row>
    <row r="435" spans="1:15" x14ac:dyDescent="0.25">
      <c r="A435" t="s">
        <v>1105</v>
      </c>
      <c r="B435" t="s">
        <v>1106</v>
      </c>
      <c r="C435" t="s">
        <v>1107</v>
      </c>
      <c r="D435">
        <v>1.05</v>
      </c>
      <c r="E435">
        <v>0</v>
      </c>
      <c r="F435">
        <v>2.13</v>
      </c>
      <c r="G435">
        <v>0</v>
      </c>
      <c r="H435">
        <v>88</v>
      </c>
      <c r="I435">
        <v>12</v>
      </c>
      <c r="J435">
        <v>0</v>
      </c>
      <c r="K435" t="s">
        <v>344</v>
      </c>
      <c r="L435">
        <v>503</v>
      </c>
      <c r="M435">
        <v>326</v>
      </c>
      <c r="N435" s="1">
        <f t="shared" si="12"/>
        <v>0.35188866799204777</v>
      </c>
      <c r="O435" s="1">
        <f t="shared" si="13"/>
        <v>0.64811133200795223</v>
      </c>
    </row>
    <row r="436" spans="1:15" x14ac:dyDescent="0.25">
      <c r="A436" t="s">
        <v>1108</v>
      </c>
      <c r="B436" t="s">
        <v>1104</v>
      </c>
      <c r="C436" t="s">
        <v>1109</v>
      </c>
      <c r="D436">
        <v>1.05</v>
      </c>
      <c r="E436">
        <v>2.56</v>
      </c>
      <c r="F436">
        <v>2.12</v>
      </c>
      <c r="G436">
        <v>10.4</v>
      </c>
      <c r="H436">
        <v>84.57</v>
      </c>
      <c r="I436">
        <v>5.03</v>
      </c>
      <c r="J436">
        <v>6.76</v>
      </c>
      <c r="K436" t="s">
        <v>344</v>
      </c>
      <c r="L436">
        <v>503</v>
      </c>
      <c r="M436">
        <v>326</v>
      </c>
      <c r="N436" s="1">
        <f t="shared" si="12"/>
        <v>0.35188866799204777</v>
      </c>
      <c r="O436" s="1">
        <f t="shared" si="13"/>
        <v>0.64811133200795223</v>
      </c>
    </row>
    <row r="437" spans="1:15" x14ac:dyDescent="0.25">
      <c r="A437" t="s">
        <v>1110</v>
      </c>
      <c r="B437" t="s">
        <v>1111</v>
      </c>
      <c r="C437" t="s">
        <v>1112</v>
      </c>
      <c r="D437">
        <v>1.04</v>
      </c>
      <c r="E437">
        <v>0</v>
      </c>
      <c r="F437">
        <v>2.1</v>
      </c>
      <c r="G437">
        <v>0</v>
      </c>
      <c r="H437">
        <v>98</v>
      </c>
      <c r="I437">
        <v>2</v>
      </c>
      <c r="J437">
        <v>0</v>
      </c>
      <c r="K437" t="s">
        <v>344</v>
      </c>
      <c r="L437">
        <v>503</v>
      </c>
      <c r="M437">
        <v>328</v>
      </c>
      <c r="N437" s="1">
        <f t="shared" si="12"/>
        <v>0.34791252485089463</v>
      </c>
      <c r="O437" s="1">
        <f t="shared" si="13"/>
        <v>0.65208747514910537</v>
      </c>
    </row>
    <row r="438" spans="1:15" x14ac:dyDescent="0.25">
      <c r="A438" t="s">
        <v>1113</v>
      </c>
      <c r="B438" t="s">
        <v>1114</v>
      </c>
      <c r="C438" t="s">
        <v>1115</v>
      </c>
      <c r="D438">
        <v>1.04</v>
      </c>
      <c r="E438">
        <v>0.63</v>
      </c>
      <c r="F438">
        <v>2.1</v>
      </c>
      <c r="G438">
        <v>0</v>
      </c>
      <c r="H438">
        <v>98</v>
      </c>
      <c r="I438">
        <v>2</v>
      </c>
      <c r="J438">
        <v>0</v>
      </c>
      <c r="K438" t="s">
        <v>344</v>
      </c>
      <c r="L438">
        <v>503</v>
      </c>
      <c r="M438">
        <v>328</v>
      </c>
      <c r="N438" s="1">
        <f t="shared" si="12"/>
        <v>0.34791252485089463</v>
      </c>
      <c r="O438" s="1">
        <f t="shared" si="13"/>
        <v>0.65208747514910537</v>
      </c>
    </row>
    <row r="439" spans="1:15" x14ac:dyDescent="0.25">
      <c r="A439" t="s">
        <v>1116</v>
      </c>
      <c r="B439" t="s">
        <v>1117</v>
      </c>
      <c r="C439" t="s">
        <v>1118</v>
      </c>
      <c r="D439">
        <v>1.03</v>
      </c>
      <c r="E439">
        <v>1.89</v>
      </c>
      <c r="F439">
        <v>2.09</v>
      </c>
      <c r="G439">
        <v>0</v>
      </c>
      <c r="H439">
        <v>90.94</v>
      </c>
      <c r="I439">
        <v>0.98</v>
      </c>
      <c r="J439">
        <v>2.91</v>
      </c>
      <c r="K439" t="s">
        <v>344</v>
      </c>
      <c r="L439">
        <v>503</v>
      </c>
      <c r="M439">
        <v>329</v>
      </c>
      <c r="N439" s="1">
        <f t="shared" si="12"/>
        <v>0.34592445328031807</v>
      </c>
      <c r="O439" s="1">
        <f t="shared" si="13"/>
        <v>0.65407554671968193</v>
      </c>
    </row>
    <row r="440" spans="1:15" x14ac:dyDescent="0.25">
      <c r="A440" t="s">
        <v>1119</v>
      </c>
      <c r="B440" t="s">
        <v>1120</v>
      </c>
      <c r="C440" t="s">
        <v>301</v>
      </c>
      <c r="D440">
        <v>1.03</v>
      </c>
      <c r="E440">
        <v>2.14</v>
      </c>
      <c r="F440">
        <v>2.08</v>
      </c>
      <c r="G440">
        <v>13.36</v>
      </c>
      <c r="H440">
        <v>76.739999999999995</v>
      </c>
      <c r="I440">
        <v>1.86</v>
      </c>
      <c r="J440">
        <v>0</v>
      </c>
      <c r="K440" t="s">
        <v>344</v>
      </c>
      <c r="L440">
        <v>503</v>
      </c>
      <c r="M440">
        <v>329</v>
      </c>
      <c r="N440" s="1">
        <f t="shared" si="12"/>
        <v>0.34592445328031807</v>
      </c>
      <c r="O440" s="1">
        <f t="shared" si="13"/>
        <v>0.65407554671968193</v>
      </c>
    </row>
    <row r="441" spans="1:15" x14ac:dyDescent="0.25">
      <c r="A441" t="s">
        <v>1121</v>
      </c>
      <c r="B441" t="s">
        <v>1122</v>
      </c>
      <c r="C441" t="s">
        <v>1123</v>
      </c>
      <c r="D441">
        <v>1.03</v>
      </c>
      <c r="E441">
        <v>1.5</v>
      </c>
      <c r="F441">
        <v>2.1</v>
      </c>
      <c r="G441">
        <v>0</v>
      </c>
      <c r="H441">
        <v>97</v>
      </c>
      <c r="I441">
        <v>1</v>
      </c>
      <c r="J441">
        <v>0</v>
      </c>
      <c r="K441" t="s">
        <v>344</v>
      </c>
      <c r="L441">
        <v>503</v>
      </c>
      <c r="M441">
        <v>329</v>
      </c>
      <c r="N441" s="1">
        <f t="shared" si="12"/>
        <v>0.34592445328031807</v>
      </c>
      <c r="O441" s="1">
        <f t="shared" si="13"/>
        <v>0.65407554671968193</v>
      </c>
    </row>
    <row r="442" spans="1:15" x14ac:dyDescent="0.25">
      <c r="A442" t="s">
        <v>1124</v>
      </c>
      <c r="B442" t="s">
        <v>1125</v>
      </c>
      <c r="C442" t="s">
        <v>1126</v>
      </c>
      <c r="D442">
        <v>1</v>
      </c>
      <c r="E442">
        <v>1.75</v>
      </c>
      <c r="F442">
        <v>2.0299999999999998</v>
      </c>
      <c r="G442">
        <v>0</v>
      </c>
      <c r="H442">
        <v>92.06</v>
      </c>
      <c r="I442">
        <v>1.24</v>
      </c>
      <c r="J442">
        <v>0</v>
      </c>
      <c r="K442" t="s">
        <v>344</v>
      </c>
      <c r="L442">
        <v>503</v>
      </c>
      <c r="M442">
        <v>331</v>
      </c>
      <c r="N442" s="1">
        <f t="shared" si="12"/>
        <v>0.34194831013916505</v>
      </c>
      <c r="O442" s="1">
        <f t="shared" si="13"/>
        <v>0.65805168986083495</v>
      </c>
    </row>
    <row r="443" spans="1:15" x14ac:dyDescent="0.25">
      <c r="A443" t="s">
        <v>1127</v>
      </c>
      <c r="B443" t="s">
        <v>1128</v>
      </c>
      <c r="C443" t="s">
        <v>1091</v>
      </c>
      <c r="D443">
        <v>1</v>
      </c>
      <c r="E443">
        <v>1.62</v>
      </c>
      <c r="F443">
        <v>2.0299999999999998</v>
      </c>
      <c r="G443">
        <v>2.65</v>
      </c>
      <c r="H443">
        <v>82.05</v>
      </c>
      <c r="I443">
        <v>0.94</v>
      </c>
      <c r="J443">
        <v>0</v>
      </c>
      <c r="K443" t="s">
        <v>344</v>
      </c>
      <c r="L443">
        <v>503</v>
      </c>
      <c r="M443">
        <v>332</v>
      </c>
      <c r="N443" s="1">
        <f t="shared" si="12"/>
        <v>0.33996023856858848</v>
      </c>
      <c r="O443" s="1">
        <f t="shared" si="13"/>
        <v>0.66003976143141152</v>
      </c>
    </row>
    <row r="444" spans="1:15" x14ac:dyDescent="0.25">
      <c r="A444" t="s">
        <v>1129</v>
      </c>
      <c r="B444" t="s">
        <v>1130</v>
      </c>
      <c r="C444" t="s">
        <v>1082</v>
      </c>
      <c r="D444">
        <v>0.99</v>
      </c>
      <c r="E444">
        <v>1.62</v>
      </c>
      <c r="F444">
        <v>2.0099999999999998</v>
      </c>
      <c r="G444">
        <v>0</v>
      </c>
      <c r="H444">
        <v>85.37</v>
      </c>
      <c r="I444">
        <v>3.68</v>
      </c>
      <c r="J444">
        <v>0</v>
      </c>
      <c r="K444" t="s">
        <v>344</v>
      </c>
      <c r="L444">
        <v>503</v>
      </c>
      <c r="M444">
        <v>334</v>
      </c>
      <c r="N444" s="1">
        <f t="shared" si="12"/>
        <v>0.33598409542743535</v>
      </c>
      <c r="O444" s="1">
        <f t="shared" si="13"/>
        <v>0.66401590457256465</v>
      </c>
    </row>
    <row r="445" spans="1:15" x14ac:dyDescent="0.25">
      <c r="A445" t="s">
        <v>1131</v>
      </c>
      <c r="B445" t="s">
        <v>1132</v>
      </c>
      <c r="C445" t="s">
        <v>554</v>
      </c>
      <c r="D445">
        <v>0.98</v>
      </c>
      <c r="E445">
        <v>1.48</v>
      </c>
      <c r="F445">
        <v>1.99</v>
      </c>
      <c r="G445">
        <v>6.88</v>
      </c>
      <c r="H445">
        <v>85.44</v>
      </c>
      <c r="I445">
        <v>3.97</v>
      </c>
      <c r="J445">
        <v>9.94</v>
      </c>
      <c r="K445" t="s">
        <v>344</v>
      </c>
      <c r="L445">
        <v>503</v>
      </c>
      <c r="M445">
        <v>335</v>
      </c>
      <c r="N445" s="1">
        <f t="shared" si="12"/>
        <v>0.33399602385685889</v>
      </c>
      <c r="O445" s="1">
        <f t="shared" si="13"/>
        <v>0.66600397614314111</v>
      </c>
    </row>
    <row r="446" spans="1:15" x14ac:dyDescent="0.25">
      <c r="A446" t="s">
        <v>1133</v>
      </c>
      <c r="B446" t="s">
        <v>1134</v>
      </c>
      <c r="C446" t="s">
        <v>1135</v>
      </c>
      <c r="D446">
        <v>0.96</v>
      </c>
      <c r="E446">
        <v>0</v>
      </c>
      <c r="F446">
        <v>1.94</v>
      </c>
      <c r="G446">
        <v>0</v>
      </c>
      <c r="H446">
        <v>40</v>
      </c>
      <c r="I446">
        <v>60</v>
      </c>
      <c r="J446">
        <v>0</v>
      </c>
      <c r="K446" t="s">
        <v>344</v>
      </c>
      <c r="L446">
        <v>503</v>
      </c>
      <c r="M446">
        <v>338</v>
      </c>
      <c r="N446" s="1">
        <f t="shared" si="12"/>
        <v>0.32803180914512919</v>
      </c>
      <c r="O446" s="1">
        <f t="shared" si="13"/>
        <v>0.67196819085487081</v>
      </c>
    </row>
    <row r="447" spans="1:15" x14ac:dyDescent="0.25">
      <c r="A447" t="s">
        <v>1136</v>
      </c>
      <c r="B447" t="s">
        <v>1137</v>
      </c>
      <c r="C447" t="s">
        <v>1138</v>
      </c>
      <c r="D447">
        <v>0.95</v>
      </c>
      <c r="E447">
        <v>0.56999999999999995</v>
      </c>
      <c r="F447">
        <v>1.93</v>
      </c>
      <c r="G447">
        <v>0</v>
      </c>
      <c r="H447">
        <v>51</v>
      </c>
      <c r="I447">
        <v>49</v>
      </c>
      <c r="J447">
        <v>0</v>
      </c>
      <c r="K447" t="s">
        <v>344</v>
      </c>
      <c r="L447">
        <v>503</v>
      </c>
      <c r="M447">
        <v>338</v>
      </c>
      <c r="N447" s="1">
        <f t="shared" si="12"/>
        <v>0.32803180914512919</v>
      </c>
      <c r="O447" s="1">
        <f t="shared" si="13"/>
        <v>0.67196819085487081</v>
      </c>
    </row>
    <row r="448" spans="1:15" x14ac:dyDescent="0.25">
      <c r="A448" t="s">
        <v>1139</v>
      </c>
      <c r="B448" t="s">
        <v>1140</v>
      </c>
      <c r="C448" t="s">
        <v>1141</v>
      </c>
      <c r="D448">
        <v>0.94</v>
      </c>
      <c r="E448">
        <v>0.45</v>
      </c>
      <c r="F448">
        <v>1.91</v>
      </c>
      <c r="G448">
        <v>0</v>
      </c>
      <c r="H448">
        <v>99</v>
      </c>
      <c r="I448">
        <v>1</v>
      </c>
      <c r="J448">
        <v>0</v>
      </c>
      <c r="K448" t="s">
        <v>344</v>
      </c>
      <c r="L448">
        <v>503</v>
      </c>
      <c r="M448">
        <v>339</v>
      </c>
      <c r="N448" s="1">
        <f t="shared" si="12"/>
        <v>0.32604373757455274</v>
      </c>
      <c r="O448" s="1">
        <f t="shared" si="13"/>
        <v>0.67395626242544726</v>
      </c>
    </row>
    <row r="449" spans="1:15" x14ac:dyDescent="0.25">
      <c r="A449" t="s">
        <v>1142</v>
      </c>
      <c r="B449" t="s">
        <v>1143</v>
      </c>
      <c r="C449" t="s">
        <v>943</v>
      </c>
      <c r="D449">
        <v>0.94</v>
      </c>
      <c r="E449">
        <v>0.65</v>
      </c>
      <c r="F449">
        <v>1.9</v>
      </c>
      <c r="G449">
        <v>0</v>
      </c>
      <c r="H449">
        <v>98.99</v>
      </c>
      <c r="I449">
        <v>1.01</v>
      </c>
      <c r="J449">
        <v>0</v>
      </c>
      <c r="K449" t="s">
        <v>344</v>
      </c>
      <c r="L449">
        <v>503</v>
      </c>
      <c r="M449">
        <v>341</v>
      </c>
      <c r="N449" s="1">
        <f t="shared" si="12"/>
        <v>0.32206759443339961</v>
      </c>
      <c r="O449" s="1">
        <f t="shared" si="13"/>
        <v>0.67793240556660039</v>
      </c>
    </row>
    <row r="450" spans="1:15" x14ac:dyDescent="0.25">
      <c r="A450" t="s">
        <v>1144</v>
      </c>
      <c r="B450" t="s">
        <v>1145</v>
      </c>
      <c r="C450" t="s">
        <v>1146</v>
      </c>
      <c r="D450">
        <v>0.94</v>
      </c>
      <c r="E450">
        <v>2.13</v>
      </c>
      <c r="F450">
        <v>1.89</v>
      </c>
      <c r="G450">
        <v>3.95</v>
      </c>
      <c r="H450">
        <v>77.25</v>
      </c>
      <c r="I450">
        <v>2</v>
      </c>
      <c r="J450">
        <v>0</v>
      </c>
      <c r="K450" t="s">
        <v>344</v>
      </c>
      <c r="L450">
        <v>503</v>
      </c>
      <c r="M450">
        <v>342</v>
      </c>
      <c r="N450" s="1">
        <f t="shared" ref="N450:N513" si="14">1-O450</f>
        <v>0.32007952286282304</v>
      </c>
      <c r="O450" s="1">
        <f t="shared" ref="O450:O513" si="15">M450/L450</f>
        <v>0.67992047713717696</v>
      </c>
    </row>
    <row r="451" spans="1:15" x14ac:dyDescent="0.25">
      <c r="A451" t="s">
        <v>1147</v>
      </c>
      <c r="B451" t="s">
        <v>1148</v>
      </c>
      <c r="C451" t="s">
        <v>1082</v>
      </c>
      <c r="D451">
        <v>0.94</v>
      </c>
      <c r="E451">
        <v>1.62</v>
      </c>
      <c r="F451">
        <v>1.9</v>
      </c>
      <c r="G451">
        <v>0</v>
      </c>
      <c r="H451">
        <v>86</v>
      </c>
      <c r="I451">
        <v>5</v>
      </c>
      <c r="J451">
        <v>0</v>
      </c>
      <c r="K451" t="s">
        <v>344</v>
      </c>
      <c r="L451">
        <v>503</v>
      </c>
      <c r="M451">
        <v>342</v>
      </c>
      <c r="N451" s="1">
        <f t="shared" si="14"/>
        <v>0.32007952286282304</v>
      </c>
      <c r="O451" s="1">
        <f t="shared" si="15"/>
        <v>0.67992047713717696</v>
      </c>
    </row>
    <row r="452" spans="1:15" x14ac:dyDescent="0.25">
      <c r="A452" t="s">
        <v>1149</v>
      </c>
      <c r="B452" t="s">
        <v>1150</v>
      </c>
      <c r="C452" t="s">
        <v>539</v>
      </c>
      <c r="D452">
        <v>0.93</v>
      </c>
      <c r="E452">
        <v>2.56</v>
      </c>
      <c r="F452">
        <v>1.89</v>
      </c>
      <c r="G452">
        <v>2.9</v>
      </c>
      <c r="H452">
        <v>77.5</v>
      </c>
      <c r="I452">
        <v>1.9</v>
      </c>
      <c r="J452">
        <v>1.1000000000000001</v>
      </c>
      <c r="K452" t="s">
        <v>344</v>
      </c>
      <c r="L452">
        <v>503</v>
      </c>
      <c r="M452">
        <v>342</v>
      </c>
      <c r="N452" s="1">
        <f t="shared" si="14"/>
        <v>0.32007952286282304</v>
      </c>
      <c r="O452" s="1">
        <f t="shared" si="15"/>
        <v>0.67992047713717696</v>
      </c>
    </row>
    <row r="453" spans="1:15" x14ac:dyDescent="0.25">
      <c r="A453" t="s">
        <v>1151</v>
      </c>
      <c r="B453" t="s">
        <v>1152</v>
      </c>
      <c r="C453" t="s">
        <v>1153</v>
      </c>
      <c r="D453">
        <v>0.92</v>
      </c>
      <c r="E453">
        <v>2.5</v>
      </c>
      <c r="F453">
        <v>1.87</v>
      </c>
      <c r="G453">
        <v>8.82</v>
      </c>
      <c r="H453">
        <v>80.95</v>
      </c>
      <c r="I453">
        <v>4.82</v>
      </c>
      <c r="J453">
        <v>3</v>
      </c>
      <c r="K453" t="s">
        <v>344</v>
      </c>
      <c r="L453">
        <v>503</v>
      </c>
      <c r="M453">
        <v>343</v>
      </c>
      <c r="N453" s="1">
        <f t="shared" si="14"/>
        <v>0.31809145129224647</v>
      </c>
      <c r="O453" s="1">
        <f t="shared" si="15"/>
        <v>0.68190854870775353</v>
      </c>
    </row>
    <row r="454" spans="1:15" x14ac:dyDescent="0.25">
      <c r="A454" t="s">
        <v>1154</v>
      </c>
      <c r="B454" t="s">
        <v>1155</v>
      </c>
      <c r="C454" t="s">
        <v>1156</v>
      </c>
      <c r="D454">
        <v>0.92</v>
      </c>
      <c r="E454">
        <v>2.11</v>
      </c>
      <c r="F454">
        <v>1.86</v>
      </c>
      <c r="G454">
        <v>0</v>
      </c>
      <c r="H454">
        <v>98</v>
      </c>
      <c r="I454">
        <v>2</v>
      </c>
      <c r="J454">
        <v>0</v>
      </c>
      <c r="K454" t="s">
        <v>344</v>
      </c>
      <c r="L454">
        <v>503</v>
      </c>
      <c r="M454">
        <v>344</v>
      </c>
      <c r="N454" s="1">
        <f t="shared" si="14"/>
        <v>0.31610337972167002</v>
      </c>
      <c r="O454" s="1">
        <f t="shared" si="15"/>
        <v>0.68389662027832998</v>
      </c>
    </row>
    <row r="455" spans="1:15" x14ac:dyDescent="0.25">
      <c r="A455" t="s">
        <v>1157</v>
      </c>
      <c r="B455" t="s">
        <v>1158</v>
      </c>
      <c r="C455" t="s">
        <v>539</v>
      </c>
      <c r="D455">
        <v>0.92</v>
      </c>
      <c r="E455">
        <v>2.56</v>
      </c>
      <c r="F455">
        <v>1.86</v>
      </c>
      <c r="G455">
        <v>2.9</v>
      </c>
      <c r="H455">
        <v>77.5</v>
      </c>
      <c r="I455">
        <v>1.9</v>
      </c>
      <c r="J455">
        <v>1.1000000000000001</v>
      </c>
      <c r="K455" t="s">
        <v>344</v>
      </c>
      <c r="L455">
        <v>503</v>
      </c>
      <c r="M455">
        <v>344</v>
      </c>
      <c r="N455" s="1">
        <f t="shared" si="14"/>
        <v>0.31610337972167002</v>
      </c>
      <c r="O455" s="1">
        <f t="shared" si="15"/>
        <v>0.68389662027832998</v>
      </c>
    </row>
    <row r="456" spans="1:15" x14ac:dyDescent="0.25">
      <c r="A456" t="s">
        <v>1159</v>
      </c>
      <c r="B456" t="s">
        <v>1160</v>
      </c>
      <c r="C456" t="s">
        <v>1161</v>
      </c>
      <c r="D456">
        <v>0.91</v>
      </c>
      <c r="E456">
        <v>0.66</v>
      </c>
      <c r="F456">
        <v>1.84</v>
      </c>
      <c r="G456">
        <v>0</v>
      </c>
      <c r="H456">
        <v>97.87</v>
      </c>
      <c r="I456">
        <v>2.14</v>
      </c>
      <c r="J456">
        <v>0</v>
      </c>
      <c r="K456" t="s">
        <v>344</v>
      </c>
      <c r="L456">
        <v>503</v>
      </c>
      <c r="M456">
        <v>345</v>
      </c>
      <c r="N456" s="1">
        <f t="shared" si="14"/>
        <v>0.31411530815109345</v>
      </c>
      <c r="O456" s="1">
        <f t="shared" si="15"/>
        <v>0.68588469184890655</v>
      </c>
    </row>
    <row r="457" spans="1:15" x14ac:dyDescent="0.25">
      <c r="A457" t="s">
        <v>1162</v>
      </c>
      <c r="B457" t="s">
        <v>1163</v>
      </c>
      <c r="C457" t="s">
        <v>301</v>
      </c>
      <c r="D457">
        <v>0.9</v>
      </c>
      <c r="E457">
        <v>2.13</v>
      </c>
      <c r="F457">
        <v>1.83</v>
      </c>
      <c r="G457">
        <v>18.88</v>
      </c>
      <c r="H457">
        <v>68.540000000000006</v>
      </c>
      <c r="I457">
        <v>1.89</v>
      </c>
      <c r="J457">
        <v>2.06</v>
      </c>
      <c r="K457" t="s">
        <v>344</v>
      </c>
      <c r="L457">
        <v>503</v>
      </c>
      <c r="M457">
        <v>347</v>
      </c>
      <c r="N457" s="1">
        <f t="shared" si="14"/>
        <v>0.31013916500994032</v>
      </c>
      <c r="O457" s="1">
        <f t="shared" si="15"/>
        <v>0.68986083499005968</v>
      </c>
    </row>
    <row r="458" spans="1:15" x14ac:dyDescent="0.25">
      <c r="A458" t="s">
        <v>1164</v>
      </c>
      <c r="B458" t="s">
        <v>1165</v>
      </c>
      <c r="C458" t="s">
        <v>545</v>
      </c>
      <c r="D458">
        <v>0.9</v>
      </c>
      <c r="E458">
        <v>2.71</v>
      </c>
      <c r="F458">
        <v>1.83</v>
      </c>
      <c r="G458">
        <v>12.45</v>
      </c>
      <c r="H458">
        <v>76.38</v>
      </c>
      <c r="I458">
        <v>0.96</v>
      </c>
      <c r="J458">
        <v>5.91</v>
      </c>
      <c r="K458" t="s">
        <v>344</v>
      </c>
      <c r="L458">
        <v>503</v>
      </c>
      <c r="M458">
        <v>347</v>
      </c>
      <c r="N458" s="1">
        <f t="shared" si="14"/>
        <v>0.31013916500994032</v>
      </c>
      <c r="O458" s="1">
        <f t="shared" si="15"/>
        <v>0.68986083499005968</v>
      </c>
    </row>
    <row r="459" spans="1:15" x14ac:dyDescent="0.25">
      <c r="A459" t="s">
        <v>1166</v>
      </c>
      <c r="B459" t="s">
        <v>1167</v>
      </c>
      <c r="C459" t="s">
        <v>1168</v>
      </c>
      <c r="D459">
        <v>0.9</v>
      </c>
      <c r="E459">
        <v>0.46</v>
      </c>
      <c r="F459">
        <v>1.82</v>
      </c>
      <c r="G459">
        <v>0</v>
      </c>
      <c r="H459">
        <v>55</v>
      </c>
      <c r="I459">
        <v>45</v>
      </c>
      <c r="J459">
        <v>0</v>
      </c>
      <c r="K459" t="s">
        <v>344</v>
      </c>
      <c r="L459">
        <v>503</v>
      </c>
      <c r="M459">
        <v>349</v>
      </c>
      <c r="N459" s="1">
        <f t="shared" si="14"/>
        <v>0.3061630218687873</v>
      </c>
      <c r="O459" s="1">
        <f t="shared" si="15"/>
        <v>0.6938369781312127</v>
      </c>
    </row>
    <row r="460" spans="1:15" x14ac:dyDescent="0.25">
      <c r="A460" t="s">
        <v>1169</v>
      </c>
      <c r="B460" t="s">
        <v>1170</v>
      </c>
      <c r="C460" t="s">
        <v>539</v>
      </c>
      <c r="D460">
        <v>0.88</v>
      </c>
      <c r="E460">
        <v>2.56</v>
      </c>
      <c r="F460">
        <v>1.78</v>
      </c>
      <c r="G460">
        <v>3.84</v>
      </c>
      <c r="H460">
        <v>76.31</v>
      </c>
      <c r="I460">
        <v>1.74</v>
      </c>
      <c r="J460">
        <v>1.21</v>
      </c>
      <c r="K460" t="s">
        <v>344</v>
      </c>
      <c r="L460">
        <v>503</v>
      </c>
      <c r="M460">
        <v>349</v>
      </c>
      <c r="N460" s="1">
        <f t="shared" si="14"/>
        <v>0.3061630218687873</v>
      </c>
      <c r="O460" s="1">
        <f t="shared" si="15"/>
        <v>0.6938369781312127</v>
      </c>
    </row>
    <row r="461" spans="1:15" x14ac:dyDescent="0.25">
      <c r="A461" t="s">
        <v>1171</v>
      </c>
      <c r="B461" t="s">
        <v>1172</v>
      </c>
      <c r="C461" t="s">
        <v>1173</v>
      </c>
      <c r="D461">
        <v>0.88</v>
      </c>
      <c r="E461">
        <v>0.46</v>
      </c>
      <c r="F461">
        <v>1.78</v>
      </c>
      <c r="G461">
        <v>0</v>
      </c>
      <c r="H461">
        <v>36.89</v>
      </c>
      <c r="I461">
        <v>63.11</v>
      </c>
      <c r="J461">
        <v>0</v>
      </c>
      <c r="K461" t="s">
        <v>344</v>
      </c>
      <c r="L461">
        <v>503</v>
      </c>
      <c r="M461">
        <v>349</v>
      </c>
      <c r="N461" s="1">
        <f t="shared" si="14"/>
        <v>0.3061630218687873</v>
      </c>
      <c r="O461" s="1">
        <f t="shared" si="15"/>
        <v>0.6938369781312127</v>
      </c>
    </row>
    <row r="462" spans="1:15" x14ac:dyDescent="0.25">
      <c r="A462" t="s">
        <v>1174</v>
      </c>
      <c r="B462" t="s">
        <v>1175</v>
      </c>
      <c r="C462" t="s">
        <v>889</v>
      </c>
      <c r="D462">
        <v>0.87</v>
      </c>
      <c r="E462">
        <v>0</v>
      </c>
      <c r="F462">
        <v>1.77</v>
      </c>
      <c r="G462">
        <v>0</v>
      </c>
      <c r="H462">
        <v>90</v>
      </c>
      <c r="I462">
        <v>1</v>
      </c>
      <c r="J462">
        <v>0</v>
      </c>
      <c r="K462" t="s">
        <v>344</v>
      </c>
      <c r="L462">
        <v>503</v>
      </c>
      <c r="M462">
        <v>349</v>
      </c>
      <c r="N462" s="1">
        <f t="shared" si="14"/>
        <v>0.3061630218687873</v>
      </c>
      <c r="O462" s="1">
        <f t="shared" si="15"/>
        <v>0.6938369781312127</v>
      </c>
    </row>
    <row r="463" spans="1:15" x14ac:dyDescent="0.25">
      <c r="A463" t="s">
        <v>1176</v>
      </c>
      <c r="B463" t="s">
        <v>1177</v>
      </c>
      <c r="C463" t="s">
        <v>1178</v>
      </c>
      <c r="D463">
        <v>0.87</v>
      </c>
      <c r="E463">
        <v>0.54</v>
      </c>
      <c r="F463">
        <v>1.76</v>
      </c>
      <c r="G463">
        <v>0</v>
      </c>
      <c r="H463">
        <v>49.38</v>
      </c>
      <c r="I463">
        <v>50.62</v>
      </c>
      <c r="J463">
        <v>0</v>
      </c>
      <c r="K463" t="s">
        <v>344</v>
      </c>
      <c r="L463">
        <v>503</v>
      </c>
      <c r="M463">
        <v>350</v>
      </c>
      <c r="N463" s="1">
        <f t="shared" si="14"/>
        <v>0.30417495029821073</v>
      </c>
      <c r="O463" s="1">
        <f t="shared" si="15"/>
        <v>0.69582504970178927</v>
      </c>
    </row>
    <row r="464" spans="1:15" x14ac:dyDescent="0.25">
      <c r="A464" t="s">
        <v>1179</v>
      </c>
      <c r="B464" t="s">
        <v>1180</v>
      </c>
      <c r="C464" t="s">
        <v>1181</v>
      </c>
      <c r="D464">
        <v>0.86</v>
      </c>
      <c r="E464">
        <v>1.1499999999999999</v>
      </c>
      <c r="F464">
        <v>1.75</v>
      </c>
      <c r="G464">
        <v>0</v>
      </c>
      <c r="H464">
        <v>54.79</v>
      </c>
      <c r="I464">
        <v>45.19</v>
      </c>
      <c r="J464">
        <v>0</v>
      </c>
      <c r="K464" t="s">
        <v>344</v>
      </c>
      <c r="L464">
        <v>503</v>
      </c>
      <c r="M464">
        <v>352</v>
      </c>
      <c r="N464" s="1">
        <f t="shared" si="14"/>
        <v>0.3001988071570576</v>
      </c>
      <c r="O464" s="1">
        <f t="shared" si="15"/>
        <v>0.6998011928429424</v>
      </c>
    </row>
    <row r="465" spans="1:15" x14ac:dyDescent="0.25">
      <c r="A465" t="s">
        <v>1182</v>
      </c>
      <c r="B465" t="s">
        <v>1183</v>
      </c>
      <c r="C465" t="s">
        <v>1184</v>
      </c>
      <c r="D465">
        <v>0.86</v>
      </c>
      <c r="E465">
        <v>0.46</v>
      </c>
      <c r="F465">
        <v>1.75</v>
      </c>
      <c r="G465">
        <v>0</v>
      </c>
      <c r="H465">
        <v>96</v>
      </c>
      <c r="I465">
        <v>4</v>
      </c>
      <c r="J465">
        <v>0</v>
      </c>
      <c r="K465" t="s">
        <v>344</v>
      </c>
      <c r="L465">
        <v>503</v>
      </c>
      <c r="M465">
        <v>352</v>
      </c>
      <c r="N465" s="1">
        <f t="shared" si="14"/>
        <v>0.3001988071570576</v>
      </c>
      <c r="O465" s="1">
        <f t="shared" si="15"/>
        <v>0.6998011928429424</v>
      </c>
    </row>
    <row r="466" spans="1:15" x14ac:dyDescent="0.25">
      <c r="A466" t="s">
        <v>1185</v>
      </c>
      <c r="B466" t="s">
        <v>1186</v>
      </c>
      <c r="C466" t="s">
        <v>606</v>
      </c>
      <c r="D466">
        <v>0.84</v>
      </c>
      <c r="E466">
        <v>2.04</v>
      </c>
      <c r="F466">
        <v>1.7</v>
      </c>
      <c r="G466">
        <v>6.38</v>
      </c>
      <c r="H466">
        <v>91.42</v>
      </c>
      <c r="I466">
        <v>1</v>
      </c>
      <c r="J466">
        <v>2.98</v>
      </c>
      <c r="K466" t="s">
        <v>344</v>
      </c>
      <c r="L466">
        <v>503</v>
      </c>
      <c r="M466">
        <v>352</v>
      </c>
      <c r="N466" s="1">
        <f t="shared" si="14"/>
        <v>0.3001988071570576</v>
      </c>
      <c r="O466" s="1">
        <f t="shared" si="15"/>
        <v>0.6998011928429424</v>
      </c>
    </row>
    <row r="467" spans="1:15" x14ac:dyDescent="0.25">
      <c r="A467" t="s">
        <v>1187</v>
      </c>
      <c r="B467" t="s">
        <v>1188</v>
      </c>
      <c r="C467" t="s">
        <v>606</v>
      </c>
      <c r="D467">
        <v>0.84</v>
      </c>
      <c r="E467">
        <v>2.0299999999999998</v>
      </c>
      <c r="F467">
        <v>1.7</v>
      </c>
      <c r="G467">
        <v>6.38</v>
      </c>
      <c r="H467">
        <v>91.42</v>
      </c>
      <c r="I467">
        <v>1</v>
      </c>
      <c r="J467">
        <v>2.98</v>
      </c>
      <c r="K467" t="s">
        <v>344</v>
      </c>
      <c r="L467">
        <v>503</v>
      </c>
      <c r="M467">
        <v>352</v>
      </c>
      <c r="N467" s="1">
        <f t="shared" si="14"/>
        <v>0.3001988071570576</v>
      </c>
      <c r="O467" s="1">
        <f t="shared" si="15"/>
        <v>0.6998011928429424</v>
      </c>
    </row>
    <row r="468" spans="1:15" x14ac:dyDescent="0.25">
      <c r="A468" t="s">
        <v>1189</v>
      </c>
      <c r="B468" t="s">
        <v>1190</v>
      </c>
      <c r="C468" t="s">
        <v>606</v>
      </c>
      <c r="D468">
        <v>0.84</v>
      </c>
      <c r="E468">
        <v>2.04</v>
      </c>
      <c r="F468">
        <v>1.7</v>
      </c>
      <c r="G468">
        <v>6.38</v>
      </c>
      <c r="H468">
        <v>91.42</v>
      </c>
      <c r="I468">
        <v>1</v>
      </c>
      <c r="J468">
        <v>2.98</v>
      </c>
      <c r="K468" t="s">
        <v>344</v>
      </c>
      <c r="L468">
        <v>503</v>
      </c>
      <c r="M468">
        <v>352</v>
      </c>
      <c r="N468" s="1">
        <f t="shared" si="14"/>
        <v>0.3001988071570576</v>
      </c>
      <c r="O468" s="1">
        <f t="shared" si="15"/>
        <v>0.6998011928429424</v>
      </c>
    </row>
    <row r="469" spans="1:15" x14ac:dyDescent="0.25">
      <c r="A469" t="s">
        <v>1191</v>
      </c>
      <c r="B469" t="s">
        <v>1192</v>
      </c>
      <c r="C469" t="s">
        <v>606</v>
      </c>
      <c r="D469">
        <v>0.84</v>
      </c>
      <c r="E469">
        <v>2.04</v>
      </c>
      <c r="F469">
        <v>1.7</v>
      </c>
      <c r="G469">
        <v>6.38</v>
      </c>
      <c r="H469">
        <v>91.42</v>
      </c>
      <c r="I469">
        <v>1</v>
      </c>
      <c r="J469">
        <v>2.98</v>
      </c>
      <c r="K469" t="s">
        <v>344</v>
      </c>
      <c r="L469">
        <v>503</v>
      </c>
      <c r="M469">
        <v>352</v>
      </c>
      <c r="N469" s="1">
        <f t="shared" si="14"/>
        <v>0.3001988071570576</v>
      </c>
      <c r="O469" s="1">
        <f t="shared" si="15"/>
        <v>0.6998011928429424</v>
      </c>
    </row>
    <row r="470" spans="1:15" x14ac:dyDescent="0.25">
      <c r="A470" t="s">
        <v>1193</v>
      </c>
      <c r="B470" t="s">
        <v>1194</v>
      </c>
      <c r="C470" t="s">
        <v>606</v>
      </c>
      <c r="D470">
        <v>0.84</v>
      </c>
      <c r="E470">
        <v>2.0299999999999998</v>
      </c>
      <c r="F470">
        <v>1.7</v>
      </c>
      <c r="G470">
        <v>6.38</v>
      </c>
      <c r="H470">
        <v>91.42</v>
      </c>
      <c r="I470">
        <v>1</v>
      </c>
      <c r="J470">
        <v>2.98</v>
      </c>
      <c r="K470" t="s">
        <v>344</v>
      </c>
      <c r="L470">
        <v>503</v>
      </c>
      <c r="M470">
        <v>352</v>
      </c>
      <c r="N470" s="1">
        <f t="shared" si="14"/>
        <v>0.3001988071570576</v>
      </c>
      <c r="O470" s="1">
        <f t="shared" si="15"/>
        <v>0.6998011928429424</v>
      </c>
    </row>
    <row r="471" spans="1:15" x14ac:dyDescent="0.25">
      <c r="A471" t="s">
        <v>1195</v>
      </c>
      <c r="B471" t="s">
        <v>1196</v>
      </c>
      <c r="C471" t="s">
        <v>606</v>
      </c>
      <c r="D471">
        <v>0.84</v>
      </c>
      <c r="E471">
        <v>2.04</v>
      </c>
      <c r="F471">
        <v>1.7</v>
      </c>
      <c r="G471">
        <v>6.38</v>
      </c>
      <c r="H471">
        <v>91.42</v>
      </c>
      <c r="I471">
        <v>1</v>
      </c>
      <c r="J471">
        <v>2.98</v>
      </c>
      <c r="K471" t="s">
        <v>344</v>
      </c>
      <c r="L471">
        <v>503</v>
      </c>
      <c r="M471">
        <v>352</v>
      </c>
      <c r="N471" s="1">
        <f t="shared" si="14"/>
        <v>0.3001988071570576</v>
      </c>
      <c r="O471" s="1">
        <f t="shared" si="15"/>
        <v>0.6998011928429424</v>
      </c>
    </row>
    <row r="472" spans="1:15" x14ac:dyDescent="0.25">
      <c r="A472" t="s">
        <v>1197</v>
      </c>
      <c r="B472" t="s">
        <v>1198</v>
      </c>
      <c r="C472" t="s">
        <v>606</v>
      </c>
      <c r="D472">
        <v>0.84</v>
      </c>
      <c r="E472">
        <v>2.04</v>
      </c>
      <c r="F472">
        <v>1.7</v>
      </c>
      <c r="G472">
        <v>6.38</v>
      </c>
      <c r="H472">
        <v>91.42</v>
      </c>
      <c r="I472">
        <v>1</v>
      </c>
      <c r="J472">
        <v>2.98</v>
      </c>
      <c r="K472" t="s">
        <v>344</v>
      </c>
      <c r="L472">
        <v>503</v>
      </c>
      <c r="M472">
        <v>352</v>
      </c>
      <c r="N472" s="1">
        <f t="shared" si="14"/>
        <v>0.3001988071570576</v>
      </c>
      <c r="O472" s="1">
        <f t="shared" si="15"/>
        <v>0.6998011928429424</v>
      </c>
    </row>
    <row r="473" spans="1:15" x14ac:dyDescent="0.25">
      <c r="A473" t="s">
        <v>1199</v>
      </c>
      <c r="B473" t="s">
        <v>1200</v>
      </c>
      <c r="C473" t="s">
        <v>606</v>
      </c>
      <c r="D473">
        <v>0.84</v>
      </c>
      <c r="E473">
        <v>2.0299999999999998</v>
      </c>
      <c r="F473">
        <v>1.7</v>
      </c>
      <c r="G473">
        <v>6.38</v>
      </c>
      <c r="H473">
        <v>91.42</v>
      </c>
      <c r="I473">
        <v>1</v>
      </c>
      <c r="J473">
        <v>2.98</v>
      </c>
      <c r="K473" t="s">
        <v>344</v>
      </c>
      <c r="L473">
        <v>503</v>
      </c>
      <c r="M473">
        <v>352</v>
      </c>
      <c r="N473" s="1">
        <f t="shared" si="14"/>
        <v>0.3001988071570576</v>
      </c>
      <c r="O473" s="1">
        <f t="shared" si="15"/>
        <v>0.6998011928429424</v>
      </c>
    </row>
    <row r="474" spans="1:15" x14ac:dyDescent="0.25">
      <c r="A474" t="s">
        <v>1201</v>
      </c>
      <c r="B474" t="s">
        <v>1202</v>
      </c>
      <c r="C474" t="s">
        <v>606</v>
      </c>
      <c r="D474">
        <v>0.84</v>
      </c>
      <c r="E474">
        <v>2.04</v>
      </c>
      <c r="F474">
        <v>1.7</v>
      </c>
      <c r="G474">
        <v>6.38</v>
      </c>
      <c r="H474">
        <v>91.42</v>
      </c>
      <c r="I474">
        <v>1</v>
      </c>
      <c r="J474">
        <v>2.98</v>
      </c>
      <c r="K474" t="s">
        <v>344</v>
      </c>
      <c r="L474">
        <v>503</v>
      </c>
      <c r="M474">
        <v>352</v>
      </c>
      <c r="N474" s="1">
        <f t="shared" si="14"/>
        <v>0.3001988071570576</v>
      </c>
      <c r="O474" s="1">
        <f t="shared" si="15"/>
        <v>0.6998011928429424</v>
      </c>
    </row>
    <row r="475" spans="1:15" x14ac:dyDescent="0.25">
      <c r="A475" t="s">
        <v>1203</v>
      </c>
      <c r="B475" t="s">
        <v>1204</v>
      </c>
      <c r="C475" t="s">
        <v>606</v>
      </c>
      <c r="D475">
        <v>0.84</v>
      </c>
      <c r="E475">
        <v>2.0299999999999998</v>
      </c>
      <c r="F475">
        <v>1.7</v>
      </c>
      <c r="G475">
        <v>6.93</v>
      </c>
      <c r="H475">
        <v>91.08</v>
      </c>
      <c r="I475">
        <v>0.99</v>
      </c>
      <c r="J475">
        <v>3.15</v>
      </c>
      <c r="K475" t="s">
        <v>344</v>
      </c>
      <c r="L475">
        <v>503</v>
      </c>
      <c r="M475">
        <v>352</v>
      </c>
      <c r="N475" s="1">
        <f t="shared" si="14"/>
        <v>0.3001988071570576</v>
      </c>
      <c r="O475" s="1">
        <f t="shared" si="15"/>
        <v>0.6998011928429424</v>
      </c>
    </row>
    <row r="476" spans="1:15" x14ac:dyDescent="0.25">
      <c r="A476" t="s">
        <v>1205</v>
      </c>
      <c r="B476" t="s">
        <v>1206</v>
      </c>
      <c r="C476" t="s">
        <v>844</v>
      </c>
      <c r="D476">
        <v>0.84</v>
      </c>
      <c r="E476">
        <v>1.68</v>
      </c>
      <c r="F476">
        <v>1.71</v>
      </c>
      <c r="G476">
        <v>3</v>
      </c>
      <c r="H476">
        <v>92.5</v>
      </c>
      <c r="I476">
        <v>2</v>
      </c>
      <c r="J476">
        <v>0</v>
      </c>
      <c r="K476" t="s">
        <v>344</v>
      </c>
      <c r="L476">
        <v>503</v>
      </c>
      <c r="M476">
        <v>352</v>
      </c>
      <c r="N476" s="1">
        <f t="shared" si="14"/>
        <v>0.3001988071570576</v>
      </c>
      <c r="O476" s="1">
        <f t="shared" si="15"/>
        <v>0.6998011928429424</v>
      </c>
    </row>
    <row r="477" spans="1:15" x14ac:dyDescent="0.25">
      <c r="A477" t="s">
        <v>1207</v>
      </c>
      <c r="B477" t="s">
        <v>1208</v>
      </c>
      <c r="C477" t="s">
        <v>606</v>
      </c>
      <c r="D477">
        <v>0.84</v>
      </c>
      <c r="E477">
        <v>2.04</v>
      </c>
      <c r="F477">
        <v>1.7</v>
      </c>
      <c r="G477">
        <v>6.38</v>
      </c>
      <c r="H477">
        <v>91.42</v>
      </c>
      <c r="I477">
        <v>1</v>
      </c>
      <c r="J477">
        <v>2.98</v>
      </c>
      <c r="K477" t="s">
        <v>344</v>
      </c>
      <c r="L477">
        <v>503</v>
      </c>
      <c r="M477">
        <v>352</v>
      </c>
      <c r="N477" s="1">
        <f t="shared" si="14"/>
        <v>0.3001988071570576</v>
      </c>
      <c r="O477" s="1">
        <f t="shared" si="15"/>
        <v>0.6998011928429424</v>
      </c>
    </row>
    <row r="478" spans="1:15" x14ac:dyDescent="0.25">
      <c r="A478" t="s">
        <v>1209</v>
      </c>
      <c r="B478" t="s">
        <v>1210</v>
      </c>
      <c r="C478" t="s">
        <v>606</v>
      </c>
      <c r="D478">
        <v>0.84</v>
      </c>
      <c r="E478">
        <v>2.04</v>
      </c>
      <c r="F478">
        <v>1.7</v>
      </c>
      <c r="G478">
        <v>6.38</v>
      </c>
      <c r="H478">
        <v>91.42</v>
      </c>
      <c r="I478">
        <v>1</v>
      </c>
      <c r="J478">
        <v>2.98</v>
      </c>
      <c r="K478" t="s">
        <v>344</v>
      </c>
      <c r="L478">
        <v>503</v>
      </c>
      <c r="M478">
        <v>352</v>
      </c>
      <c r="N478" s="1">
        <f t="shared" si="14"/>
        <v>0.3001988071570576</v>
      </c>
      <c r="O478" s="1">
        <f t="shared" si="15"/>
        <v>0.6998011928429424</v>
      </c>
    </row>
    <row r="479" spans="1:15" x14ac:dyDescent="0.25">
      <c r="A479" t="s">
        <v>1211</v>
      </c>
      <c r="B479" t="s">
        <v>1212</v>
      </c>
      <c r="C479" t="s">
        <v>606</v>
      </c>
      <c r="D479">
        <v>0.84</v>
      </c>
      <c r="E479">
        <v>2.0299999999999998</v>
      </c>
      <c r="F479">
        <v>1.7</v>
      </c>
      <c r="G479">
        <v>6.38</v>
      </c>
      <c r="H479">
        <v>91.42</v>
      </c>
      <c r="I479">
        <v>1</v>
      </c>
      <c r="J479">
        <v>2.98</v>
      </c>
      <c r="K479" t="s">
        <v>344</v>
      </c>
      <c r="L479">
        <v>503</v>
      </c>
      <c r="M479">
        <v>352</v>
      </c>
      <c r="N479" s="1">
        <f t="shared" si="14"/>
        <v>0.3001988071570576</v>
      </c>
      <c r="O479" s="1">
        <f t="shared" si="15"/>
        <v>0.6998011928429424</v>
      </c>
    </row>
    <row r="480" spans="1:15" x14ac:dyDescent="0.25">
      <c r="A480" t="s">
        <v>1213</v>
      </c>
      <c r="B480" t="s">
        <v>1214</v>
      </c>
      <c r="C480" t="s">
        <v>539</v>
      </c>
      <c r="D480">
        <v>0.8</v>
      </c>
      <c r="E480">
        <v>2.56</v>
      </c>
      <c r="F480">
        <v>1.63</v>
      </c>
      <c r="G480">
        <v>3.82</v>
      </c>
      <c r="H480">
        <v>77.12</v>
      </c>
      <c r="I480">
        <v>1.28</v>
      </c>
      <c r="J480">
        <v>1.49</v>
      </c>
      <c r="K480" t="s">
        <v>344</v>
      </c>
      <c r="L480">
        <v>503</v>
      </c>
      <c r="M480">
        <v>355</v>
      </c>
      <c r="N480" s="1">
        <f t="shared" si="14"/>
        <v>0.29423459244532801</v>
      </c>
      <c r="O480" s="1">
        <f t="shared" si="15"/>
        <v>0.70576540755467199</v>
      </c>
    </row>
    <row r="481" spans="1:15" x14ac:dyDescent="0.25">
      <c r="A481" t="s">
        <v>1215</v>
      </c>
      <c r="B481" t="s">
        <v>1216</v>
      </c>
      <c r="C481" t="s">
        <v>1217</v>
      </c>
      <c r="D481">
        <v>0.8</v>
      </c>
      <c r="E481">
        <v>0.45</v>
      </c>
      <c r="F481">
        <v>1.62</v>
      </c>
      <c r="G481">
        <v>0</v>
      </c>
      <c r="H481">
        <v>50</v>
      </c>
      <c r="I481">
        <v>50</v>
      </c>
      <c r="J481">
        <v>0</v>
      </c>
      <c r="K481" t="s">
        <v>344</v>
      </c>
      <c r="L481">
        <v>503</v>
      </c>
      <c r="M481">
        <v>358</v>
      </c>
      <c r="N481" s="1">
        <f t="shared" si="14"/>
        <v>0.28827037773359843</v>
      </c>
      <c r="O481" s="1">
        <f t="shared" si="15"/>
        <v>0.71172962226640157</v>
      </c>
    </row>
    <row r="482" spans="1:15" x14ac:dyDescent="0.25">
      <c r="A482" t="s">
        <v>1218</v>
      </c>
      <c r="B482" t="s">
        <v>1219</v>
      </c>
      <c r="C482" t="s">
        <v>1082</v>
      </c>
      <c r="D482">
        <v>0.8</v>
      </c>
      <c r="E482">
        <v>1.62</v>
      </c>
      <c r="F482">
        <v>1.61</v>
      </c>
      <c r="G482">
        <v>0</v>
      </c>
      <c r="H482">
        <v>60.91</v>
      </c>
      <c r="I482">
        <v>36.090000000000003</v>
      </c>
      <c r="J482">
        <v>0</v>
      </c>
      <c r="K482" t="s">
        <v>344</v>
      </c>
      <c r="L482">
        <v>503</v>
      </c>
      <c r="M482">
        <v>358</v>
      </c>
      <c r="N482" s="1">
        <f t="shared" si="14"/>
        <v>0.28827037773359843</v>
      </c>
      <c r="O482" s="1">
        <f t="shared" si="15"/>
        <v>0.71172962226640157</v>
      </c>
    </row>
    <row r="483" spans="1:15" x14ac:dyDescent="0.25">
      <c r="A483" t="s">
        <v>1220</v>
      </c>
      <c r="B483" t="s">
        <v>1221</v>
      </c>
      <c r="C483" t="s">
        <v>1077</v>
      </c>
      <c r="D483">
        <v>0.79</v>
      </c>
      <c r="E483">
        <v>0.22</v>
      </c>
      <c r="F483">
        <v>1.6</v>
      </c>
      <c r="G483">
        <v>0</v>
      </c>
      <c r="H483">
        <v>49.17</v>
      </c>
      <c r="I483">
        <v>50.83</v>
      </c>
      <c r="J483">
        <v>0</v>
      </c>
      <c r="K483" t="s">
        <v>344</v>
      </c>
      <c r="L483">
        <v>503</v>
      </c>
      <c r="M483">
        <v>360</v>
      </c>
      <c r="N483" s="1">
        <f t="shared" si="14"/>
        <v>0.28429423459244529</v>
      </c>
      <c r="O483" s="1">
        <f t="shared" si="15"/>
        <v>0.71570576540755471</v>
      </c>
    </row>
    <row r="484" spans="1:15" x14ac:dyDescent="0.25">
      <c r="A484" t="s">
        <v>1222</v>
      </c>
      <c r="B484" t="s">
        <v>1223</v>
      </c>
      <c r="C484" t="s">
        <v>539</v>
      </c>
      <c r="D484">
        <v>0.79</v>
      </c>
      <c r="E484">
        <v>2.56</v>
      </c>
      <c r="F484">
        <v>1.6</v>
      </c>
      <c r="G484">
        <v>3.47</v>
      </c>
      <c r="H484">
        <v>77.37</v>
      </c>
      <c r="I484">
        <v>1.38</v>
      </c>
      <c r="J484">
        <v>1.42</v>
      </c>
      <c r="K484" t="s">
        <v>344</v>
      </c>
      <c r="L484">
        <v>503</v>
      </c>
      <c r="M484">
        <v>360</v>
      </c>
      <c r="N484" s="1">
        <f t="shared" si="14"/>
        <v>0.28429423459244529</v>
      </c>
      <c r="O484" s="1">
        <f t="shared" si="15"/>
        <v>0.71570576540755471</v>
      </c>
    </row>
    <row r="485" spans="1:15" x14ac:dyDescent="0.25">
      <c r="A485" t="s">
        <v>1224</v>
      </c>
      <c r="B485" t="s">
        <v>1225</v>
      </c>
      <c r="C485" t="s">
        <v>1077</v>
      </c>
      <c r="D485">
        <v>0.77</v>
      </c>
      <c r="E485">
        <v>0.56000000000000005</v>
      </c>
      <c r="F485">
        <v>1.57</v>
      </c>
      <c r="G485">
        <v>0</v>
      </c>
      <c r="H485">
        <v>49.01</v>
      </c>
      <c r="I485">
        <v>50.99</v>
      </c>
      <c r="J485">
        <v>0</v>
      </c>
      <c r="K485" t="s">
        <v>344</v>
      </c>
      <c r="L485">
        <v>503</v>
      </c>
      <c r="M485">
        <v>364</v>
      </c>
      <c r="N485" s="1">
        <f t="shared" si="14"/>
        <v>0.27634194831013914</v>
      </c>
      <c r="O485" s="1">
        <f t="shared" si="15"/>
        <v>0.72365805168986086</v>
      </c>
    </row>
    <row r="486" spans="1:15" x14ac:dyDescent="0.25">
      <c r="A486" t="s">
        <v>1226</v>
      </c>
      <c r="B486" t="s">
        <v>1180</v>
      </c>
      <c r="C486" t="s">
        <v>1181</v>
      </c>
      <c r="D486">
        <v>0.77</v>
      </c>
      <c r="E486">
        <v>1.1499999999999999</v>
      </c>
      <c r="F486">
        <v>1.55</v>
      </c>
      <c r="G486">
        <v>0</v>
      </c>
      <c r="H486">
        <v>54.49</v>
      </c>
      <c r="I486">
        <v>45.5</v>
      </c>
      <c r="J486">
        <v>0</v>
      </c>
      <c r="K486" t="s">
        <v>344</v>
      </c>
      <c r="L486">
        <v>503</v>
      </c>
      <c r="M486">
        <v>366</v>
      </c>
      <c r="N486" s="1">
        <f t="shared" si="14"/>
        <v>0.27236580516898612</v>
      </c>
      <c r="O486" s="1">
        <f t="shared" si="15"/>
        <v>0.72763419483101388</v>
      </c>
    </row>
    <row r="487" spans="1:15" x14ac:dyDescent="0.25">
      <c r="A487" t="s">
        <v>1227</v>
      </c>
      <c r="B487" t="s">
        <v>1228</v>
      </c>
      <c r="C487" t="s">
        <v>1229</v>
      </c>
      <c r="D487">
        <v>0.76</v>
      </c>
      <c r="E487">
        <v>0.69</v>
      </c>
      <c r="F487">
        <v>1.54</v>
      </c>
      <c r="G487">
        <v>0</v>
      </c>
      <c r="H487">
        <v>98</v>
      </c>
      <c r="I487">
        <v>2</v>
      </c>
      <c r="J487">
        <v>0</v>
      </c>
      <c r="K487" t="s">
        <v>344</v>
      </c>
      <c r="L487">
        <v>503</v>
      </c>
      <c r="M487">
        <v>366</v>
      </c>
      <c r="N487" s="1">
        <f t="shared" si="14"/>
        <v>0.27236580516898612</v>
      </c>
      <c r="O487" s="1">
        <f t="shared" si="15"/>
        <v>0.72763419483101388</v>
      </c>
    </row>
    <row r="488" spans="1:15" x14ac:dyDescent="0.25">
      <c r="A488" t="s">
        <v>1230</v>
      </c>
      <c r="B488" t="s">
        <v>1231</v>
      </c>
      <c r="C488" t="s">
        <v>1232</v>
      </c>
      <c r="D488">
        <v>0.76</v>
      </c>
      <c r="E488">
        <v>0.55000000000000004</v>
      </c>
      <c r="F488">
        <v>1.54</v>
      </c>
      <c r="G488">
        <v>0</v>
      </c>
      <c r="H488">
        <v>50.32</v>
      </c>
      <c r="I488">
        <v>49.68</v>
      </c>
      <c r="J488">
        <v>0</v>
      </c>
      <c r="K488" t="s">
        <v>344</v>
      </c>
      <c r="L488">
        <v>503</v>
      </c>
      <c r="M488">
        <v>366</v>
      </c>
      <c r="N488" s="1">
        <f t="shared" si="14"/>
        <v>0.27236580516898612</v>
      </c>
      <c r="O488" s="1">
        <f t="shared" si="15"/>
        <v>0.72763419483101388</v>
      </c>
    </row>
    <row r="489" spans="1:15" x14ac:dyDescent="0.25">
      <c r="A489" t="s">
        <v>1233</v>
      </c>
      <c r="B489" t="s">
        <v>1234</v>
      </c>
      <c r="C489" t="s">
        <v>1235</v>
      </c>
      <c r="D489">
        <v>0.75</v>
      </c>
      <c r="E489">
        <v>0.56999999999999995</v>
      </c>
      <c r="F489">
        <v>1.51</v>
      </c>
      <c r="G489">
        <v>0</v>
      </c>
      <c r="H489">
        <v>62</v>
      </c>
      <c r="I489">
        <v>38</v>
      </c>
      <c r="J489">
        <v>0</v>
      </c>
      <c r="K489" t="s">
        <v>344</v>
      </c>
      <c r="L489">
        <v>503</v>
      </c>
      <c r="M489">
        <v>368</v>
      </c>
      <c r="N489" s="1">
        <f t="shared" si="14"/>
        <v>0.26838966202783299</v>
      </c>
      <c r="O489" s="1">
        <f t="shared" si="15"/>
        <v>0.73161033797216701</v>
      </c>
    </row>
    <row r="490" spans="1:15" x14ac:dyDescent="0.25">
      <c r="A490" t="s">
        <v>1236</v>
      </c>
      <c r="B490" t="s">
        <v>1225</v>
      </c>
      <c r="C490" t="s">
        <v>1237</v>
      </c>
      <c r="D490">
        <v>0.74</v>
      </c>
      <c r="E490">
        <v>0.46</v>
      </c>
      <c r="F490">
        <v>1.5</v>
      </c>
      <c r="G490">
        <v>0</v>
      </c>
      <c r="H490">
        <v>40</v>
      </c>
      <c r="I490">
        <v>60</v>
      </c>
      <c r="J490">
        <v>0</v>
      </c>
      <c r="K490" t="s">
        <v>344</v>
      </c>
      <c r="L490">
        <v>503</v>
      </c>
      <c r="M490">
        <v>369</v>
      </c>
      <c r="N490" s="1">
        <f t="shared" si="14"/>
        <v>0.26640159045725642</v>
      </c>
      <c r="O490" s="1">
        <f t="shared" si="15"/>
        <v>0.73359840954274358</v>
      </c>
    </row>
    <row r="491" spans="1:15" x14ac:dyDescent="0.25">
      <c r="A491" t="s">
        <v>1238</v>
      </c>
      <c r="B491" t="s">
        <v>1239</v>
      </c>
      <c r="D491">
        <v>0.73</v>
      </c>
      <c r="E491">
        <v>0</v>
      </c>
      <c r="F491">
        <v>1.47</v>
      </c>
      <c r="G491">
        <v>0</v>
      </c>
      <c r="H491">
        <v>90</v>
      </c>
      <c r="I491">
        <v>1</v>
      </c>
      <c r="J491">
        <v>0</v>
      </c>
      <c r="K491" t="s">
        <v>344</v>
      </c>
      <c r="L491">
        <v>503</v>
      </c>
      <c r="M491">
        <v>369</v>
      </c>
      <c r="N491" s="1">
        <f t="shared" si="14"/>
        <v>0.26640159045725642</v>
      </c>
      <c r="O491" s="1">
        <f t="shared" si="15"/>
        <v>0.73359840954274358</v>
      </c>
    </row>
    <row r="492" spans="1:15" x14ac:dyDescent="0.25">
      <c r="A492" t="s">
        <v>1240</v>
      </c>
      <c r="B492" t="s">
        <v>1241</v>
      </c>
      <c r="C492" t="s">
        <v>1181</v>
      </c>
      <c r="D492">
        <v>0.73</v>
      </c>
      <c r="E492">
        <v>0</v>
      </c>
      <c r="F492">
        <v>1.47</v>
      </c>
      <c r="G492">
        <v>0</v>
      </c>
      <c r="H492">
        <v>50.4</v>
      </c>
      <c r="I492">
        <v>49.6</v>
      </c>
      <c r="J492">
        <v>0</v>
      </c>
      <c r="K492" t="s">
        <v>344</v>
      </c>
      <c r="L492">
        <v>503</v>
      </c>
      <c r="M492">
        <v>369</v>
      </c>
      <c r="N492" s="1">
        <f t="shared" si="14"/>
        <v>0.26640159045725642</v>
      </c>
      <c r="O492" s="1">
        <f t="shared" si="15"/>
        <v>0.73359840954274358</v>
      </c>
    </row>
    <row r="493" spans="1:15" x14ac:dyDescent="0.25">
      <c r="A493" t="s">
        <v>1242</v>
      </c>
      <c r="B493" t="s">
        <v>1243</v>
      </c>
      <c r="C493" t="s">
        <v>892</v>
      </c>
      <c r="D493">
        <v>0.73</v>
      </c>
      <c r="E493">
        <v>2.56</v>
      </c>
      <c r="F493">
        <v>1.49</v>
      </c>
      <c r="G493">
        <v>2.93</v>
      </c>
      <c r="H493">
        <v>77.180000000000007</v>
      </c>
      <c r="I493">
        <v>1.8</v>
      </c>
      <c r="J493">
        <v>0.79</v>
      </c>
      <c r="K493" t="s">
        <v>344</v>
      </c>
      <c r="L493">
        <v>503</v>
      </c>
      <c r="M493">
        <v>369</v>
      </c>
      <c r="N493" s="1">
        <f t="shared" si="14"/>
        <v>0.26640159045725642</v>
      </c>
      <c r="O493" s="1">
        <f t="shared" si="15"/>
        <v>0.73359840954274358</v>
      </c>
    </row>
    <row r="494" spans="1:15" x14ac:dyDescent="0.25">
      <c r="A494" t="s">
        <v>1244</v>
      </c>
      <c r="B494" t="s">
        <v>1245</v>
      </c>
      <c r="C494" t="s">
        <v>1246</v>
      </c>
      <c r="D494">
        <v>0.72</v>
      </c>
      <c r="E494">
        <v>0.56999999999999995</v>
      </c>
      <c r="F494">
        <v>1.47</v>
      </c>
      <c r="G494">
        <v>0</v>
      </c>
      <c r="H494">
        <v>51</v>
      </c>
      <c r="I494">
        <v>49</v>
      </c>
      <c r="J494">
        <v>0</v>
      </c>
      <c r="K494" t="s">
        <v>344</v>
      </c>
      <c r="L494">
        <v>503</v>
      </c>
      <c r="M494">
        <v>369</v>
      </c>
      <c r="N494" s="1">
        <f t="shared" si="14"/>
        <v>0.26640159045725642</v>
      </c>
      <c r="O494" s="1">
        <f t="shared" si="15"/>
        <v>0.73359840954274358</v>
      </c>
    </row>
    <row r="495" spans="1:15" x14ac:dyDescent="0.25">
      <c r="A495" t="s">
        <v>1247</v>
      </c>
      <c r="B495" t="s">
        <v>1248</v>
      </c>
      <c r="C495" t="s">
        <v>1249</v>
      </c>
      <c r="D495">
        <v>0.72</v>
      </c>
      <c r="E495">
        <v>0.36</v>
      </c>
      <c r="F495">
        <v>1.46</v>
      </c>
      <c r="G495">
        <v>0</v>
      </c>
      <c r="H495">
        <v>69.459999999999994</v>
      </c>
      <c r="I495">
        <v>30.56</v>
      </c>
      <c r="J495">
        <v>0</v>
      </c>
      <c r="K495" t="s">
        <v>344</v>
      </c>
      <c r="L495">
        <v>503</v>
      </c>
      <c r="M495">
        <v>370</v>
      </c>
      <c r="N495" s="1">
        <f t="shared" si="14"/>
        <v>0.26441351888667997</v>
      </c>
      <c r="O495" s="1">
        <f t="shared" si="15"/>
        <v>0.73558648111332003</v>
      </c>
    </row>
    <row r="496" spans="1:15" x14ac:dyDescent="0.25">
      <c r="A496" t="s">
        <v>1250</v>
      </c>
      <c r="B496" t="s">
        <v>1251</v>
      </c>
      <c r="C496" t="s">
        <v>1252</v>
      </c>
      <c r="D496">
        <v>0.72</v>
      </c>
      <c r="E496">
        <v>2.54</v>
      </c>
      <c r="F496">
        <v>1.46</v>
      </c>
      <c r="G496">
        <v>8.6199999999999992</v>
      </c>
      <c r="H496">
        <v>83.02</v>
      </c>
      <c r="I496">
        <v>5.9</v>
      </c>
      <c r="J496">
        <v>6.32</v>
      </c>
      <c r="K496" t="s">
        <v>344</v>
      </c>
      <c r="L496">
        <v>503</v>
      </c>
      <c r="M496">
        <v>370</v>
      </c>
      <c r="N496" s="1">
        <f t="shared" si="14"/>
        <v>0.26441351888667997</v>
      </c>
      <c r="O496" s="1">
        <f t="shared" si="15"/>
        <v>0.73558648111332003</v>
      </c>
    </row>
    <row r="497" spans="1:15" x14ac:dyDescent="0.25">
      <c r="A497" t="s">
        <v>1253</v>
      </c>
      <c r="B497" t="s">
        <v>1254</v>
      </c>
      <c r="C497" t="s">
        <v>1255</v>
      </c>
      <c r="D497">
        <v>0.71</v>
      </c>
      <c r="E497">
        <v>0.5</v>
      </c>
      <c r="F497">
        <v>1.44</v>
      </c>
      <c r="G497">
        <v>0</v>
      </c>
      <c r="H497">
        <v>46.24</v>
      </c>
      <c r="I497">
        <v>53.75</v>
      </c>
      <c r="J497">
        <v>0</v>
      </c>
      <c r="K497" t="s">
        <v>344</v>
      </c>
      <c r="L497">
        <v>503</v>
      </c>
      <c r="M497">
        <v>372</v>
      </c>
      <c r="N497" s="1">
        <f t="shared" si="14"/>
        <v>0.26043737574552683</v>
      </c>
      <c r="O497" s="1">
        <f t="shared" si="15"/>
        <v>0.73956262425447317</v>
      </c>
    </row>
    <row r="498" spans="1:15" x14ac:dyDescent="0.25">
      <c r="A498" t="s">
        <v>1256</v>
      </c>
      <c r="B498" t="s">
        <v>1257</v>
      </c>
      <c r="C498" t="s">
        <v>807</v>
      </c>
      <c r="D498">
        <v>0.71</v>
      </c>
      <c r="E498">
        <v>2.2000000000000002</v>
      </c>
      <c r="F498">
        <v>1.45</v>
      </c>
      <c r="G498">
        <v>5.18</v>
      </c>
      <c r="H498">
        <v>88.32</v>
      </c>
      <c r="I498">
        <v>0.95</v>
      </c>
      <c r="J498">
        <v>1.0900000000000001</v>
      </c>
      <c r="K498" t="s">
        <v>344</v>
      </c>
      <c r="L498">
        <v>503</v>
      </c>
      <c r="M498">
        <v>372</v>
      </c>
      <c r="N498" s="1">
        <f t="shared" si="14"/>
        <v>0.26043737574552683</v>
      </c>
      <c r="O498" s="1">
        <f t="shared" si="15"/>
        <v>0.73956262425447317</v>
      </c>
    </row>
    <row r="499" spans="1:15" x14ac:dyDescent="0.25">
      <c r="A499" t="s">
        <v>1258</v>
      </c>
      <c r="B499" t="s">
        <v>1259</v>
      </c>
      <c r="C499" t="s">
        <v>1260</v>
      </c>
      <c r="D499">
        <v>0.71</v>
      </c>
      <c r="E499">
        <v>0.46</v>
      </c>
      <c r="F499">
        <v>1.44</v>
      </c>
      <c r="G499">
        <v>0</v>
      </c>
      <c r="H499">
        <v>49</v>
      </c>
      <c r="I499">
        <v>51</v>
      </c>
      <c r="J499">
        <v>0</v>
      </c>
      <c r="K499" t="s">
        <v>344</v>
      </c>
      <c r="L499">
        <v>503</v>
      </c>
      <c r="M499">
        <v>372</v>
      </c>
      <c r="N499" s="1">
        <f t="shared" si="14"/>
        <v>0.26043737574552683</v>
      </c>
      <c r="O499" s="1">
        <f t="shared" si="15"/>
        <v>0.73956262425447317</v>
      </c>
    </row>
    <row r="500" spans="1:15" x14ac:dyDescent="0.25">
      <c r="A500" t="s">
        <v>1261</v>
      </c>
      <c r="B500" t="s">
        <v>1262</v>
      </c>
      <c r="C500" t="s">
        <v>1263</v>
      </c>
      <c r="D500">
        <v>0.71</v>
      </c>
      <c r="E500">
        <v>0.46</v>
      </c>
      <c r="F500">
        <v>1.44</v>
      </c>
      <c r="G500">
        <v>0</v>
      </c>
      <c r="H500">
        <v>69</v>
      </c>
      <c r="I500">
        <v>31</v>
      </c>
      <c r="J500">
        <v>0</v>
      </c>
      <c r="K500" t="s">
        <v>344</v>
      </c>
      <c r="L500">
        <v>503</v>
      </c>
      <c r="M500">
        <v>372</v>
      </c>
      <c r="N500" s="1">
        <f t="shared" si="14"/>
        <v>0.26043737574552683</v>
      </c>
      <c r="O500" s="1">
        <f t="shared" si="15"/>
        <v>0.73956262425447317</v>
      </c>
    </row>
    <row r="501" spans="1:15" x14ac:dyDescent="0.25">
      <c r="A501" t="s">
        <v>1264</v>
      </c>
      <c r="B501" t="s">
        <v>1265</v>
      </c>
      <c r="C501" t="s">
        <v>810</v>
      </c>
      <c r="D501">
        <v>0.71</v>
      </c>
      <c r="E501">
        <v>3.17</v>
      </c>
      <c r="F501">
        <v>1.44</v>
      </c>
      <c r="G501">
        <v>5.22</v>
      </c>
      <c r="H501">
        <v>88.23</v>
      </c>
      <c r="I501">
        <v>0.95</v>
      </c>
      <c r="J501">
        <v>1.1100000000000001</v>
      </c>
      <c r="K501" t="s">
        <v>344</v>
      </c>
      <c r="L501">
        <v>503</v>
      </c>
      <c r="M501">
        <v>372</v>
      </c>
      <c r="N501" s="1">
        <f t="shared" si="14"/>
        <v>0.26043737574552683</v>
      </c>
      <c r="O501" s="1">
        <f t="shared" si="15"/>
        <v>0.73956262425447317</v>
      </c>
    </row>
    <row r="502" spans="1:15" x14ac:dyDescent="0.25">
      <c r="A502" t="s">
        <v>1266</v>
      </c>
      <c r="B502" t="s">
        <v>1267</v>
      </c>
      <c r="C502" t="s">
        <v>807</v>
      </c>
      <c r="D502">
        <v>0.71</v>
      </c>
      <c r="E502">
        <v>2.21</v>
      </c>
      <c r="F502">
        <v>1.43</v>
      </c>
      <c r="G502">
        <v>5.22</v>
      </c>
      <c r="H502">
        <v>88.24</v>
      </c>
      <c r="I502">
        <v>0.95</v>
      </c>
      <c r="J502">
        <v>1.1100000000000001</v>
      </c>
      <c r="K502" t="s">
        <v>344</v>
      </c>
      <c r="L502">
        <v>503</v>
      </c>
      <c r="M502">
        <v>373</v>
      </c>
      <c r="N502" s="1">
        <f t="shared" si="14"/>
        <v>0.25844930417495027</v>
      </c>
      <c r="O502" s="1">
        <f t="shared" si="15"/>
        <v>0.74155069582504973</v>
      </c>
    </row>
    <row r="503" spans="1:15" x14ac:dyDescent="0.25">
      <c r="A503" t="s">
        <v>1268</v>
      </c>
      <c r="B503" t="s">
        <v>1269</v>
      </c>
      <c r="C503" t="s">
        <v>1082</v>
      </c>
      <c r="D503">
        <v>0.71</v>
      </c>
      <c r="E503">
        <v>1.63</v>
      </c>
      <c r="F503">
        <v>1.43</v>
      </c>
      <c r="G503">
        <v>0</v>
      </c>
      <c r="H503">
        <v>58.29</v>
      </c>
      <c r="I503">
        <v>39.61</v>
      </c>
      <c r="J503">
        <v>0</v>
      </c>
      <c r="K503" t="s">
        <v>344</v>
      </c>
      <c r="L503">
        <v>503</v>
      </c>
      <c r="M503">
        <v>373</v>
      </c>
      <c r="N503" s="1">
        <f t="shared" si="14"/>
        <v>0.25844930417495027</v>
      </c>
      <c r="O503" s="1">
        <f t="shared" si="15"/>
        <v>0.74155069582504973</v>
      </c>
    </row>
    <row r="504" spans="1:15" x14ac:dyDescent="0.25">
      <c r="A504" t="s">
        <v>1270</v>
      </c>
      <c r="B504" t="s">
        <v>1271</v>
      </c>
      <c r="C504" t="s">
        <v>347</v>
      </c>
      <c r="D504">
        <v>0.71</v>
      </c>
      <c r="E504">
        <v>0.46</v>
      </c>
      <c r="F504">
        <v>1.43</v>
      </c>
      <c r="G504">
        <v>0</v>
      </c>
      <c r="H504">
        <v>48</v>
      </c>
      <c r="I504">
        <v>52</v>
      </c>
      <c r="J504">
        <v>0</v>
      </c>
      <c r="K504" t="s">
        <v>344</v>
      </c>
      <c r="L504">
        <v>503</v>
      </c>
      <c r="M504">
        <v>373</v>
      </c>
      <c r="N504" s="1">
        <f t="shared" si="14"/>
        <v>0.25844930417495027</v>
      </c>
      <c r="O504" s="1">
        <f t="shared" si="15"/>
        <v>0.74155069582504973</v>
      </c>
    </row>
    <row r="505" spans="1:15" x14ac:dyDescent="0.25">
      <c r="A505" t="s">
        <v>1272</v>
      </c>
      <c r="B505" t="s">
        <v>1273</v>
      </c>
      <c r="C505" t="s">
        <v>1274</v>
      </c>
      <c r="D505">
        <v>0.7</v>
      </c>
      <c r="E505">
        <v>1.62</v>
      </c>
      <c r="F505">
        <v>1.42</v>
      </c>
      <c r="G505">
        <v>0</v>
      </c>
      <c r="H505">
        <v>83.86</v>
      </c>
      <c r="I505">
        <v>1.1100000000000001</v>
      </c>
      <c r="J505">
        <v>5.34</v>
      </c>
      <c r="K505" t="s">
        <v>344</v>
      </c>
      <c r="L505">
        <v>503</v>
      </c>
      <c r="M505">
        <v>373</v>
      </c>
      <c r="N505" s="1">
        <f t="shared" si="14"/>
        <v>0.25844930417495027</v>
      </c>
      <c r="O505" s="1">
        <f t="shared" si="15"/>
        <v>0.74155069582504973</v>
      </c>
    </row>
    <row r="506" spans="1:15" x14ac:dyDescent="0.25">
      <c r="A506" t="s">
        <v>1275</v>
      </c>
      <c r="B506" t="s">
        <v>1276</v>
      </c>
      <c r="C506" t="s">
        <v>1141</v>
      </c>
      <c r="D506">
        <v>0.7</v>
      </c>
      <c r="E506">
        <v>0.45</v>
      </c>
      <c r="F506">
        <v>1.41</v>
      </c>
      <c r="G506">
        <v>0</v>
      </c>
      <c r="H506">
        <v>19.97</v>
      </c>
      <c r="I506">
        <v>80.03</v>
      </c>
      <c r="J506">
        <v>0</v>
      </c>
      <c r="K506" t="s">
        <v>344</v>
      </c>
      <c r="L506">
        <v>503</v>
      </c>
      <c r="M506">
        <v>374</v>
      </c>
      <c r="N506" s="1">
        <f t="shared" si="14"/>
        <v>0.25646123260437381</v>
      </c>
      <c r="O506" s="1">
        <f t="shared" si="15"/>
        <v>0.74353876739562619</v>
      </c>
    </row>
    <row r="507" spans="1:15" x14ac:dyDescent="0.25">
      <c r="A507" t="s">
        <v>1277</v>
      </c>
      <c r="B507" t="s">
        <v>1278</v>
      </c>
      <c r="C507" t="s">
        <v>807</v>
      </c>
      <c r="D507">
        <v>0.7</v>
      </c>
      <c r="E507">
        <v>2.2200000000000002</v>
      </c>
      <c r="F507">
        <v>1.41</v>
      </c>
      <c r="G507">
        <v>5.26</v>
      </c>
      <c r="H507">
        <v>88.17</v>
      </c>
      <c r="I507">
        <v>0.95</v>
      </c>
      <c r="J507">
        <v>1.1299999999999999</v>
      </c>
      <c r="K507" t="s">
        <v>344</v>
      </c>
      <c r="L507">
        <v>503</v>
      </c>
      <c r="M507">
        <v>374</v>
      </c>
      <c r="N507" s="1">
        <f t="shared" si="14"/>
        <v>0.25646123260437381</v>
      </c>
      <c r="O507" s="1">
        <f t="shared" si="15"/>
        <v>0.74353876739562619</v>
      </c>
    </row>
    <row r="508" spans="1:15" x14ac:dyDescent="0.25">
      <c r="A508" t="s">
        <v>1279</v>
      </c>
      <c r="B508" t="s">
        <v>1280</v>
      </c>
      <c r="C508" t="s">
        <v>1082</v>
      </c>
      <c r="D508">
        <v>0.7</v>
      </c>
      <c r="E508">
        <v>1.62</v>
      </c>
      <c r="F508">
        <v>1.41</v>
      </c>
      <c r="G508">
        <v>0</v>
      </c>
      <c r="H508">
        <v>32.76</v>
      </c>
      <c r="I508">
        <v>67.239999999999995</v>
      </c>
      <c r="J508">
        <v>0</v>
      </c>
      <c r="K508" t="s">
        <v>344</v>
      </c>
      <c r="L508">
        <v>503</v>
      </c>
      <c r="M508">
        <v>374</v>
      </c>
      <c r="N508" s="1">
        <f t="shared" si="14"/>
        <v>0.25646123260437381</v>
      </c>
      <c r="O508" s="1">
        <f t="shared" si="15"/>
        <v>0.74353876739562619</v>
      </c>
    </row>
    <row r="509" spans="1:15" x14ac:dyDescent="0.25">
      <c r="A509" t="s">
        <v>1281</v>
      </c>
      <c r="B509" t="s">
        <v>1282</v>
      </c>
      <c r="C509" t="s">
        <v>1260</v>
      </c>
      <c r="D509">
        <v>0.7</v>
      </c>
      <c r="F509">
        <v>1.41</v>
      </c>
      <c r="G509">
        <v>0</v>
      </c>
      <c r="H509">
        <v>68</v>
      </c>
      <c r="I509">
        <v>32</v>
      </c>
      <c r="J509">
        <v>0</v>
      </c>
      <c r="K509" t="s">
        <v>344</v>
      </c>
      <c r="L509">
        <v>503</v>
      </c>
      <c r="M509">
        <v>374</v>
      </c>
      <c r="N509" s="1">
        <f t="shared" si="14"/>
        <v>0.25646123260437381</v>
      </c>
      <c r="O509" s="1">
        <f t="shared" si="15"/>
        <v>0.74353876739562619</v>
      </c>
    </row>
    <row r="510" spans="1:15" x14ac:dyDescent="0.25">
      <c r="A510" t="s">
        <v>1283</v>
      </c>
      <c r="B510" t="s">
        <v>1284</v>
      </c>
      <c r="C510" t="s">
        <v>1285</v>
      </c>
      <c r="D510">
        <v>0.69</v>
      </c>
      <c r="F510">
        <v>1.41</v>
      </c>
      <c r="G510">
        <v>6.72</v>
      </c>
      <c r="H510">
        <v>91.27</v>
      </c>
      <c r="I510">
        <v>2</v>
      </c>
      <c r="J510">
        <v>8.5</v>
      </c>
      <c r="K510" t="s">
        <v>344</v>
      </c>
      <c r="L510">
        <v>503</v>
      </c>
      <c r="M510">
        <v>374</v>
      </c>
      <c r="N510" s="1">
        <f t="shared" si="14"/>
        <v>0.25646123260437381</v>
      </c>
      <c r="O510" s="1">
        <f t="shared" si="15"/>
        <v>0.74353876739562619</v>
      </c>
    </row>
    <row r="511" spans="1:15" x14ac:dyDescent="0.25">
      <c r="A511" t="s">
        <v>1286</v>
      </c>
      <c r="B511" t="s">
        <v>1287</v>
      </c>
      <c r="C511" t="s">
        <v>1288</v>
      </c>
      <c r="D511">
        <v>0.69</v>
      </c>
      <c r="E511">
        <v>2.38</v>
      </c>
      <c r="F511">
        <v>1.41</v>
      </c>
      <c r="G511">
        <v>6.4</v>
      </c>
      <c r="H511">
        <v>77.900000000000006</v>
      </c>
      <c r="I511">
        <v>2</v>
      </c>
      <c r="J511">
        <v>1.6</v>
      </c>
      <c r="K511" t="s">
        <v>344</v>
      </c>
      <c r="L511">
        <v>503</v>
      </c>
      <c r="M511">
        <v>374</v>
      </c>
      <c r="N511" s="1">
        <f t="shared" si="14"/>
        <v>0.25646123260437381</v>
      </c>
      <c r="O511" s="1">
        <f t="shared" si="15"/>
        <v>0.74353876739562619</v>
      </c>
    </row>
    <row r="512" spans="1:15" x14ac:dyDescent="0.25">
      <c r="A512" t="s">
        <v>1289</v>
      </c>
      <c r="B512" t="s">
        <v>1290</v>
      </c>
      <c r="C512" t="s">
        <v>1291</v>
      </c>
      <c r="D512">
        <v>0.69</v>
      </c>
      <c r="E512">
        <v>0.52</v>
      </c>
      <c r="F512">
        <v>1.4</v>
      </c>
      <c r="G512">
        <v>0</v>
      </c>
      <c r="H512">
        <v>39.96</v>
      </c>
      <c r="I512">
        <v>60.04</v>
      </c>
      <c r="J512">
        <v>0</v>
      </c>
      <c r="K512" t="s">
        <v>344</v>
      </c>
      <c r="L512">
        <v>503</v>
      </c>
      <c r="M512">
        <v>375</v>
      </c>
      <c r="N512" s="1">
        <f t="shared" si="14"/>
        <v>0.25447316103379725</v>
      </c>
      <c r="O512" s="1">
        <f t="shared" si="15"/>
        <v>0.74552683896620275</v>
      </c>
    </row>
    <row r="513" spans="1:15" x14ac:dyDescent="0.25">
      <c r="A513" t="s">
        <v>1292</v>
      </c>
      <c r="B513" t="s">
        <v>1293</v>
      </c>
      <c r="C513" t="s">
        <v>1082</v>
      </c>
      <c r="D513">
        <v>0.69</v>
      </c>
      <c r="E513">
        <v>1.62</v>
      </c>
      <c r="F513">
        <v>1.39</v>
      </c>
      <c r="G513">
        <v>0</v>
      </c>
      <c r="H513">
        <v>33</v>
      </c>
      <c r="I513">
        <v>62.16</v>
      </c>
      <c r="J513">
        <v>0</v>
      </c>
      <c r="K513" t="s">
        <v>344</v>
      </c>
      <c r="L513">
        <v>503</v>
      </c>
      <c r="M513">
        <v>376</v>
      </c>
      <c r="N513" s="1">
        <f t="shared" si="14"/>
        <v>0.25248508946322068</v>
      </c>
      <c r="O513" s="1">
        <f t="shared" si="15"/>
        <v>0.74751491053677932</v>
      </c>
    </row>
    <row r="514" spans="1:15" x14ac:dyDescent="0.25">
      <c r="A514" t="s">
        <v>1294</v>
      </c>
      <c r="B514" t="s">
        <v>1295</v>
      </c>
      <c r="C514" t="s">
        <v>1291</v>
      </c>
      <c r="D514">
        <v>0.68</v>
      </c>
      <c r="E514">
        <v>0.52</v>
      </c>
      <c r="F514">
        <v>1.38</v>
      </c>
      <c r="G514">
        <v>0</v>
      </c>
      <c r="H514">
        <v>39.979999999999997</v>
      </c>
      <c r="I514">
        <v>60.02</v>
      </c>
      <c r="J514">
        <v>0</v>
      </c>
      <c r="K514" t="s">
        <v>344</v>
      </c>
      <c r="L514">
        <v>503</v>
      </c>
      <c r="M514">
        <v>376</v>
      </c>
      <c r="N514" s="1">
        <f t="shared" ref="N514:N577" si="16">1-O514</f>
        <v>0.25248508946322068</v>
      </c>
      <c r="O514" s="1">
        <f t="shared" ref="O514:O577" si="17">M514/L514</f>
        <v>0.74751491053677932</v>
      </c>
    </row>
    <row r="515" spans="1:15" x14ac:dyDescent="0.25">
      <c r="A515" t="s">
        <v>1296</v>
      </c>
      <c r="B515" t="s">
        <v>1297</v>
      </c>
      <c r="C515" t="s">
        <v>1091</v>
      </c>
      <c r="D515">
        <v>0.68</v>
      </c>
      <c r="E515">
        <v>1.62</v>
      </c>
      <c r="F515">
        <v>1.37</v>
      </c>
      <c r="G515">
        <v>0</v>
      </c>
      <c r="H515">
        <v>88</v>
      </c>
      <c r="I515">
        <v>2</v>
      </c>
      <c r="J515">
        <v>0</v>
      </c>
      <c r="K515" t="s">
        <v>344</v>
      </c>
      <c r="L515">
        <v>503</v>
      </c>
      <c r="M515">
        <v>377</v>
      </c>
      <c r="N515" s="1">
        <f t="shared" si="16"/>
        <v>0.25049701789264411</v>
      </c>
      <c r="O515" s="1">
        <f t="shared" si="17"/>
        <v>0.74950298210735589</v>
      </c>
    </row>
    <row r="516" spans="1:15" x14ac:dyDescent="0.25">
      <c r="A516" t="s">
        <v>1298</v>
      </c>
      <c r="B516" t="s">
        <v>1299</v>
      </c>
      <c r="C516" t="s">
        <v>1091</v>
      </c>
      <c r="D516">
        <v>0.68</v>
      </c>
      <c r="E516">
        <v>1.63</v>
      </c>
      <c r="F516">
        <v>1.37</v>
      </c>
      <c r="G516">
        <v>0</v>
      </c>
      <c r="H516">
        <v>88</v>
      </c>
      <c r="I516">
        <v>2</v>
      </c>
      <c r="J516">
        <v>0</v>
      </c>
      <c r="K516" t="s">
        <v>344</v>
      </c>
      <c r="L516">
        <v>503</v>
      </c>
      <c r="M516">
        <v>377</v>
      </c>
      <c r="N516" s="1">
        <f t="shared" si="16"/>
        <v>0.25049701789264411</v>
      </c>
      <c r="O516" s="1">
        <f t="shared" si="17"/>
        <v>0.74950298210735589</v>
      </c>
    </row>
    <row r="517" spans="1:15" x14ac:dyDescent="0.25">
      <c r="A517" t="s">
        <v>1300</v>
      </c>
      <c r="B517" t="s">
        <v>1301</v>
      </c>
      <c r="C517" t="s">
        <v>1091</v>
      </c>
      <c r="D517">
        <v>0.68</v>
      </c>
      <c r="E517">
        <v>1.62</v>
      </c>
      <c r="F517">
        <v>1.37</v>
      </c>
      <c r="G517">
        <v>0</v>
      </c>
      <c r="H517">
        <v>88</v>
      </c>
      <c r="I517">
        <v>2</v>
      </c>
      <c r="J517">
        <v>0</v>
      </c>
      <c r="K517" t="s">
        <v>344</v>
      </c>
      <c r="L517">
        <v>503</v>
      </c>
      <c r="M517">
        <v>377</v>
      </c>
      <c r="N517" s="1">
        <f t="shared" si="16"/>
        <v>0.25049701789264411</v>
      </c>
      <c r="O517" s="1">
        <f t="shared" si="17"/>
        <v>0.74950298210735589</v>
      </c>
    </row>
    <row r="518" spans="1:15" x14ac:dyDescent="0.25">
      <c r="A518" t="s">
        <v>1302</v>
      </c>
      <c r="B518" t="s">
        <v>1303</v>
      </c>
      <c r="C518" t="s">
        <v>1091</v>
      </c>
      <c r="D518">
        <v>0.68</v>
      </c>
      <c r="E518">
        <v>1.62</v>
      </c>
      <c r="F518">
        <v>1.37</v>
      </c>
      <c r="G518">
        <v>0</v>
      </c>
      <c r="H518">
        <v>88</v>
      </c>
      <c r="I518">
        <v>2</v>
      </c>
      <c r="J518">
        <v>0</v>
      </c>
      <c r="K518" t="s">
        <v>344</v>
      </c>
      <c r="L518">
        <v>503</v>
      </c>
      <c r="M518">
        <v>377</v>
      </c>
      <c r="N518" s="1">
        <f t="shared" si="16"/>
        <v>0.25049701789264411</v>
      </c>
      <c r="O518" s="1">
        <f t="shared" si="17"/>
        <v>0.74950298210735589</v>
      </c>
    </row>
    <row r="519" spans="1:15" x14ac:dyDescent="0.25">
      <c r="A519" t="s">
        <v>1304</v>
      </c>
      <c r="B519" t="s">
        <v>1305</v>
      </c>
      <c r="C519" t="s">
        <v>1091</v>
      </c>
      <c r="D519">
        <v>0.68</v>
      </c>
      <c r="E519">
        <v>1.62</v>
      </c>
      <c r="F519">
        <v>1.37</v>
      </c>
      <c r="G519">
        <v>0</v>
      </c>
      <c r="H519">
        <v>88</v>
      </c>
      <c r="I519">
        <v>2</v>
      </c>
      <c r="J519">
        <v>0</v>
      </c>
      <c r="K519" t="s">
        <v>344</v>
      </c>
      <c r="L519">
        <v>503</v>
      </c>
      <c r="M519">
        <v>377</v>
      </c>
      <c r="N519" s="1">
        <f t="shared" si="16"/>
        <v>0.25049701789264411</v>
      </c>
      <c r="O519" s="1">
        <f t="shared" si="17"/>
        <v>0.74950298210735589</v>
      </c>
    </row>
    <row r="520" spans="1:15" x14ac:dyDescent="0.25">
      <c r="A520" t="s">
        <v>1306</v>
      </c>
      <c r="B520" t="s">
        <v>1307</v>
      </c>
      <c r="C520" t="s">
        <v>1291</v>
      </c>
      <c r="D520">
        <v>0.68</v>
      </c>
      <c r="E520">
        <v>0.52</v>
      </c>
      <c r="F520">
        <v>1.38</v>
      </c>
      <c r="G520">
        <v>0</v>
      </c>
      <c r="H520">
        <v>39.96</v>
      </c>
      <c r="I520">
        <v>60.04</v>
      </c>
      <c r="J520">
        <v>0</v>
      </c>
      <c r="K520" t="s">
        <v>344</v>
      </c>
      <c r="L520">
        <v>503</v>
      </c>
      <c r="M520">
        <v>377</v>
      </c>
      <c r="N520" s="1">
        <f t="shared" si="16"/>
        <v>0.25049701789264411</v>
      </c>
      <c r="O520" s="1">
        <f t="shared" si="17"/>
        <v>0.74950298210735589</v>
      </c>
    </row>
    <row r="521" spans="1:15" x14ac:dyDescent="0.25">
      <c r="A521" t="s">
        <v>1308</v>
      </c>
      <c r="B521" t="s">
        <v>1309</v>
      </c>
      <c r="C521" t="s">
        <v>1082</v>
      </c>
      <c r="D521">
        <v>0.68</v>
      </c>
      <c r="E521">
        <v>1.62</v>
      </c>
      <c r="F521">
        <v>1.37</v>
      </c>
      <c r="G521">
        <v>0</v>
      </c>
      <c r="H521">
        <v>28.37</v>
      </c>
      <c r="I521">
        <v>71.63</v>
      </c>
      <c r="J521">
        <v>0</v>
      </c>
      <c r="K521" t="s">
        <v>344</v>
      </c>
      <c r="L521">
        <v>503</v>
      </c>
      <c r="M521">
        <v>377</v>
      </c>
      <c r="N521" s="1">
        <f t="shared" si="16"/>
        <v>0.25049701789264411</v>
      </c>
      <c r="O521" s="1">
        <f t="shared" si="17"/>
        <v>0.74950298210735589</v>
      </c>
    </row>
    <row r="522" spans="1:15" x14ac:dyDescent="0.25">
      <c r="A522" t="s">
        <v>1310</v>
      </c>
      <c r="B522" t="s">
        <v>1311</v>
      </c>
      <c r="C522" t="s">
        <v>1312</v>
      </c>
      <c r="D522">
        <v>0.68</v>
      </c>
      <c r="E522">
        <v>0.45</v>
      </c>
      <c r="F522">
        <v>1.37</v>
      </c>
      <c r="G522">
        <v>0</v>
      </c>
      <c r="H522">
        <v>49.09</v>
      </c>
      <c r="I522">
        <v>50.9</v>
      </c>
      <c r="J522">
        <v>0</v>
      </c>
      <c r="K522" t="s">
        <v>344</v>
      </c>
      <c r="L522">
        <v>503</v>
      </c>
      <c r="M522">
        <v>377</v>
      </c>
      <c r="N522" s="1">
        <f t="shared" si="16"/>
        <v>0.25049701789264411</v>
      </c>
      <c r="O522" s="1">
        <f t="shared" si="17"/>
        <v>0.74950298210735589</v>
      </c>
    </row>
    <row r="523" spans="1:15" x14ac:dyDescent="0.25">
      <c r="A523" t="s">
        <v>1313</v>
      </c>
      <c r="B523" t="s">
        <v>1314</v>
      </c>
      <c r="C523" t="s">
        <v>1315</v>
      </c>
      <c r="D523">
        <v>0.67</v>
      </c>
      <c r="E523">
        <v>2.91</v>
      </c>
      <c r="F523">
        <v>1.36</v>
      </c>
      <c r="G523">
        <v>8</v>
      </c>
      <c r="H523">
        <v>78</v>
      </c>
      <c r="I523">
        <v>2</v>
      </c>
      <c r="J523">
        <v>6</v>
      </c>
      <c r="K523" t="s">
        <v>344</v>
      </c>
      <c r="L523">
        <v>503</v>
      </c>
      <c r="M523">
        <v>378</v>
      </c>
      <c r="N523" s="1">
        <f t="shared" si="16"/>
        <v>0.24850894632206755</v>
      </c>
      <c r="O523" s="1">
        <f t="shared" si="17"/>
        <v>0.75149105367793245</v>
      </c>
    </row>
    <row r="524" spans="1:15" x14ac:dyDescent="0.25">
      <c r="A524" t="s">
        <v>1316</v>
      </c>
      <c r="B524" t="s">
        <v>1317</v>
      </c>
      <c r="C524" t="s">
        <v>1141</v>
      </c>
      <c r="D524">
        <v>0.67</v>
      </c>
      <c r="E524">
        <v>0.46</v>
      </c>
      <c r="F524">
        <v>1.36</v>
      </c>
      <c r="G524">
        <v>0</v>
      </c>
      <c r="H524">
        <v>49</v>
      </c>
      <c r="I524">
        <v>51</v>
      </c>
      <c r="J524">
        <v>0</v>
      </c>
      <c r="K524" t="s">
        <v>344</v>
      </c>
      <c r="L524">
        <v>503</v>
      </c>
      <c r="M524">
        <v>378</v>
      </c>
      <c r="N524" s="1">
        <f t="shared" si="16"/>
        <v>0.24850894632206755</v>
      </c>
      <c r="O524" s="1">
        <f t="shared" si="17"/>
        <v>0.75149105367793245</v>
      </c>
    </row>
    <row r="525" spans="1:15" x14ac:dyDescent="0.25">
      <c r="A525" t="s">
        <v>1318</v>
      </c>
      <c r="B525" t="s">
        <v>1319</v>
      </c>
      <c r="C525" t="s">
        <v>539</v>
      </c>
      <c r="D525">
        <v>0.67</v>
      </c>
      <c r="E525">
        <v>2.57</v>
      </c>
      <c r="F525">
        <v>1.36</v>
      </c>
      <c r="G525">
        <v>3.24</v>
      </c>
      <c r="H525">
        <v>77.599999999999994</v>
      </c>
      <c r="I525">
        <v>1.38</v>
      </c>
      <c r="J525">
        <v>1.36</v>
      </c>
      <c r="K525" t="s">
        <v>344</v>
      </c>
      <c r="L525">
        <v>503</v>
      </c>
      <c r="M525">
        <v>378</v>
      </c>
      <c r="N525" s="1">
        <f t="shared" si="16"/>
        <v>0.24850894632206755</v>
      </c>
      <c r="O525" s="1">
        <f t="shared" si="17"/>
        <v>0.75149105367793245</v>
      </c>
    </row>
    <row r="526" spans="1:15" x14ac:dyDescent="0.25">
      <c r="A526" t="s">
        <v>1320</v>
      </c>
      <c r="B526" t="s">
        <v>1321</v>
      </c>
      <c r="C526" t="s">
        <v>1082</v>
      </c>
      <c r="D526">
        <v>0.67</v>
      </c>
      <c r="E526">
        <v>1.62</v>
      </c>
      <c r="F526">
        <v>1.36</v>
      </c>
      <c r="G526">
        <v>0</v>
      </c>
      <c r="H526">
        <v>25.3</v>
      </c>
      <c r="I526">
        <v>74.7</v>
      </c>
      <c r="J526">
        <v>0</v>
      </c>
      <c r="K526" t="s">
        <v>344</v>
      </c>
      <c r="L526">
        <v>503</v>
      </c>
      <c r="M526">
        <v>378</v>
      </c>
      <c r="N526" s="1">
        <f t="shared" si="16"/>
        <v>0.24850894632206755</v>
      </c>
      <c r="O526" s="1">
        <f t="shared" si="17"/>
        <v>0.75149105367793245</v>
      </c>
    </row>
    <row r="527" spans="1:15" x14ac:dyDescent="0.25">
      <c r="A527" t="s">
        <v>1322</v>
      </c>
      <c r="B527" t="s">
        <v>1323</v>
      </c>
      <c r="C527" t="s">
        <v>1324</v>
      </c>
      <c r="D527">
        <v>0.67</v>
      </c>
      <c r="E527">
        <v>0.54</v>
      </c>
      <c r="F527">
        <v>1.36</v>
      </c>
      <c r="G527">
        <v>0</v>
      </c>
      <c r="H527">
        <v>40.18</v>
      </c>
      <c r="I527">
        <v>59.82</v>
      </c>
      <c r="J527">
        <v>0</v>
      </c>
      <c r="K527" t="s">
        <v>344</v>
      </c>
      <c r="L527">
        <v>503</v>
      </c>
      <c r="M527">
        <v>378</v>
      </c>
      <c r="N527" s="1">
        <f t="shared" si="16"/>
        <v>0.24850894632206755</v>
      </c>
      <c r="O527" s="1">
        <f t="shared" si="17"/>
        <v>0.75149105367793245</v>
      </c>
    </row>
    <row r="528" spans="1:15" x14ac:dyDescent="0.25">
      <c r="A528" t="s">
        <v>1325</v>
      </c>
      <c r="B528" t="s">
        <v>1326</v>
      </c>
      <c r="C528" t="s">
        <v>1138</v>
      </c>
      <c r="D528">
        <v>0.67</v>
      </c>
      <c r="E528">
        <v>0.56000000000000005</v>
      </c>
      <c r="F528">
        <v>1.35</v>
      </c>
      <c r="G528">
        <v>0</v>
      </c>
      <c r="H528">
        <v>50</v>
      </c>
      <c r="I528">
        <v>50</v>
      </c>
      <c r="J528">
        <v>0</v>
      </c>
      <c r="K528" t="s">
        <v>344</v>
      </c>
      <c r="L528">
        <v>503</v>
      </c>
      <c r="M528">
        <v>379</v>
      </c>
      <c r="N528" s="1">
        <f t="shared" si="16"/>
        <v>0.24652087475149109</v>
      </c>
      <c r="O528" s="1">
        <f t="shared" si="17"/>
        <v>0.75347912524850891</v>
      </c>
    </row>
    <row r="529" spans="1:15" x14ac:dyDescent="0.25">
      <c r="A529" t="s">
        <v>1327</v>
      </c>
      <c r="B529" t="s">
        <v>1328</v>
      </c>
      <c r="C529" t="s">
        <v>1329</v>
      </c>
      <c r="D529">
        <v>0.67</v>
      </c>
      <c r="E529">
        <v>0.73</v>
      </c>
      <c r="F529">
        <v>1.35</v>
      </c>
      <c r="G529">
        <v>0</v>
      </c>
      <c r="H529">
        <v>20</v>
      </c>
      <c r="I529">
        <v>80</v>
      </c>
      <c r="J529">
        <v>0</v>
      </c>
      <c r="K529" t="s">
        <v>344</v>
      </c>
      <c r="L529">
        <v>503</v>
      </c>
      <c r="M529">
        <v>379</v>
      </c>
      <c r="N529" s="1">
        <f t="shared" si="16"/>
        <v>0.24652087475149109</v>
      </c>
      <c r="O529" s="1">
        <f t="shared" si="17"/>
        <v>0.75347912524850891</v>
      </c>
    </row>
    <row r="530" spans="1:15" x14ac:dyDescent="0.25">
      <c r="A530" t="s">
        <v>1330</v>
      </c>
      <c r="B530" t="s">
        <v>1331</v>
      </c>
      <c r="C530" t="s">
        <v>1077</v>
      </c>
      <c r="D530">
        <v>0.66</v>
      </c>
      <c r="E530">
        <v>0.56000000000000005</v>
      </c>
      <c r="F530">
        <v>1.35</v>
      </c>
      <c r="G530">
        <v>0</v>
      </c>
      <c r="H530">
        <v>0</v>
      </c>
      <c r="I530">
        <v>100</v>
      </c>
      <c r="J530">
        <v>0</v>
      </c>
      <c r="K530" t="s">
        <v>344</v>
      </c>
      <c r="L530">
        <v>503</v>
      </c>
      <c r="M530">
        <v>379</v>
      </c>
      <c r="N530" s="1">
        <f t="shared" si="16"/>
        <v>0.24652087475149109</v>
      </c>
      <c r="O530" s="1">
        <f t="shared" si="17"/>
        <v>0.75347912524850891</v>
      </c>
    </row>
    <row r="531" spans="1:15" x14ac:dyDescent="0.25">
      <c r="A531" t="s">
        <v>1332</v>
      </c>
      <c r="B531" t="s">
        <v>1333</v>
      </c>
      <c r="C531" t="s">
        <v>1334</v>
      </c>
      <c r="D531">
        <v>0.66</v>
      </c>
      <c r="E531">
        <v>0.56999999999999995</v>
      </c>
      <c r="F531">
        <v>1.34</v>
      </c>
      <c r="G531">
        <v>0</v>
      </c>
      <c r="H531">
        <v>50.36</v>
      </c>
      <c r="I531">
        <v>49.64</v>
      </c>
      <c r="J531">
        <v>0</v>
      </c>
      <c r="K531" t="s">
        <v>344</v>
      </c>
      <c r="L531">
        <v>503</v>
      </c>
      <c r="M531">
        <v>379</v>
      </c>
      <c r="N531" s="1">
        <f t="shared" si="16"/>
        <v>0.24652087475149109</v>
      </c>
      <c r="O531" s="1">
        <f t="shared" si="17"/>
        <v>0.75347912524850891</v>
      </c>
    </row>
    <row r="532" spans="1:15" x14ac:dyDescent="0.25">
      <c r="A532" t="s">
        <v>1335</v>
      </c>
      <c r="B532" t="s">
        <v>1336</v>
      </c>
      <c r="C532" t="s">
        <v>1337</v>
      </c>
      <c r="D532">
        <v>0.66</v>
      </c>
      <c r="E532">
        <v>0.55000000000000004</v>
      </c>
      <c r="F532">
        <v>1.34</v>
      </c>
      <c r="G532">
        <v>0</v>
      </c>
      <c r="H532">
        <v>49</v>
      </c>
      <c r="I532">
        <v>51</v>
      </c>
      <c r="J532">
        <v>0</v>
      </c>
      <c r="K532" t="s">
        <v>344</v>
      </c>
      <c r="L532">
        <v>503</v>
      </c>
      <c r="M532">
        <v>380</v>
      </c>
      <c r="N532" s="1">
        <f t="shared" si="16"/>
        <v>0.24453280318091453</v>
      </c>
      <c r="O532" s="1">
        <f t="shared" si="17"/>
        <v>0.75546719681908547</v>
      </c>
    </row>
    <row r="533" spans="1:15" x14ac:dyDescent="0.25">
      <c r="A533" t="s">
        <v>1338</v>
      </c>
      <c r="B533" t="s">
        <v>1339</v>
      </c>
      <c r="D533">
        <v>0.65</v>
      </c>
      <c r="F533">
        <v>1.31</v>
      </c>
      <c r="G533">
        <v>0</v>
      </c>
      <c r="H533">
        <v>16.010000000000002</v>
      </c>
      <c r="I533">
        <v>83.99</v>
      </c>
      <c r="J533">
        <v>0</v>
      </c>
      <c r="K533" t="s">
        <v>344</v>
      </c>
      <c r="L533">
        <v>503</v>
      </c>
      <c r="M533">
        <v>380</v>
      </c>
      <c r="N533" s="1">
        <f t="shared" si="16"/>
        <v>0.24453280318091453</v>
      </c>
      <c r="O533" s="1">
        <f t="shared" si="17"/>
        <v>0.75546719681908547</v>
      </c>
    </row>
    <row r="534" spans="1:15" x14ac:dyDescent="0.25">
      <c r="A534" t="s">
        <v>1340</v>
      </c>
      <c r="B534" t="s">
        <v>1341</v>
      </c>
      <c r="C534" t="s">
        <v>1168</v>
      </c>
      <c r="D534">
        <v>0.65</v>
      </c>
      <c r="E534">
        <v>0.45</v>
      </c>
      <c r="F534">
        <v>1.31</v>
      </c>
      <c r="G534">
        <v>0</v>
      </c>
      <c r="H534">
        <v>16.010000000000002</v>
      </c>
      <c r="I534">
        <v>83.99</v>
      </c>
      <c r="J534">
        <v>0</v>
      </c>
      <c r="K534" t="s">
        <v>344</v>
      </c>
      <c r="L534">
        <v>503</v>
      </c>
      <c r="M534">
        <v>380</v>
      </c>
      <c r="N534" s="1">
        <f t="shared" si="16"/>
        <v>0.24453280318091453</v>
      </c>
      <c r="O534" s="1">
        <f t="shared" si="17"/>
        <v>0.75546719681908547</v>
      </c>
    </row>
    <row r="535" spans="1:15" x14ac:dyDescent="0.25">
      <c r="A535" t="s">
        <v>1342</v>
      </c>
      <c r="B535" t="s">
        <v>1343</v>
      </c>
      <c r="C535" t="s">
        <v>1344</v>
      </c>
      <c r="D535">
        <v>0.65</v>
      </c>
      <c r="E535">
        <v>0.46</v>
      </c>
      <c r="F535">
        <v>1.32</v>
      </c>
      <c r="G535">
        <v>0</v>
      </c>
      <c r="H535">
        <v>49</v>
      </c>
      <c r="I535">
        <v>51</v>
      </c>
      <c r="J535">
        <v>0</v>
      </c>
      <c r="K535" t="s">
        <v>344</v>
      </c>
      <c r="L535">
        <v>503</v>
      </c>
      <c r="M535">
        <v>380</v>
      </c>
      <c r="N535" s="1">
        <f t="shared" si="16"/>
        <v>0.24453280318091453</v>
      </c>
      <c r="O535" s="1">
        <f t="shared" si="17"/>
        <v>0.75546719681908547</v>
      </c>
    </row>
    <row r="536" spans="1:15" x14ac:dyDescent="0.25">
      <c r="A536" t="s">
        <v>1345</v>
      </c>
      <c r="B536" t="s">
        <v>1346</v>
      </c>
      <c r="C536" t="s">
        <v>1217</v>
      </c>
      <c r="D536">
        <v>0.64</v>
      </c>
      <c r="E536">
        <v>0.46</v>
      </c>
      <c r="F536">
        <v>1.3</v>
      </c>
      <c r="G536">
        <v>0</v>
      </c>
      <c r="H536">
        <v>0</v>
      </c>
      <c r="I536">
        <v>100</v>
      </c>
      <c r="J536">
        <v>0</v>
      </c>
      <c r="K536" t="s">
        <v>344</v>
      </c>
      <c r="L536">
        <v>503</v>
      </c>
      <c r="M536">
        <v>380</v>
      </c>
      <c r="N536" s="1">
        <f t="shared" si="16"/>
        <v>0.24453280318091453</v>
      </c>
      <c r="O536" s="1">
        <f t="shared" si="17"/>
        <v>0.75546719681908547</v>
      </c>
    </row>
    <row r="537" spans="1:15" x14ac:dyDescent="0.25">
      <c r="A537" t="s">
        <v>1347</v>
      </c>
      <c r="B537" t="s">
        <v>1348</v>
      </c>
      <c r="C537" t="s">
        <v>1349</v>
      </c>
      <c r="D537">
        <v>0.64</v>
      </c>
      <c r="E537">
        <v>0.46</v>
      </c>
      <c r="F537">
        <v>1.29</v>
      </c>
      <c r="G537">
        <v>0</v>
      </c>
      <c r="H537">
        <v>46</v>
      </c>
      <c r="I537">
        <v>54</v>
      </c>
      <c r="J537">
        <v>0</v>
      </c>
      <c r="K537" t="s">
        <v>344</v>
      </c>
      <c r="L537">
        <v>503</v>
      </c>
      <c r="M537">
        <v>383</v>
      </c>
      <c r="N537" s="1">
        <f t="shared" si="16"/>
        <v>0.23856858846918494</v>
      </c>
      <c r="O537" s="1">
        <f t="shared" si="17"/>
        <v>0.76143141153081506</v>
      </c>
    </row>
    <row r="538" spans="1:15" x14ac:dyDescent="0.25">
      <c r="A538" t="s">
        <v>1350</v>
      </c>
      <c r="B538" t="s">
        <v>1351</v>
      </c>
      <c r="D538">
        <v>0.64</v>
      </c>
      <c r="F538">
        <v>1.29</v>
      </c>
      <c r="G538">
        <v>0</v>
      </c>
      <c r="H538">
        <v>0</v>
      </c>
      <c r="I538">
        <v>100</v>
      </c>
      <c r="J538">
        <v>0</v>
      </c>
      <c r="K538" t="s">
        <v>344</v>
      </c>
      <c r="L538">
        <v>503</v>
      </c>
      <c r="M538">
        <v>384</v>
      </c>
      <c r="N538" s="1">
        <f t="shared" si="16"/>
        <v>0.23658051689860837</v>
      </c>
      <c r="O538" s="1">
        <f t="shared" si="17"/>
        <v>0.76341948310139163</v>
      </c>
    </row>
    <row r="539" spans="1:15" x14ac:dyDescent="0.25">
      <c r="A539" t="s">
        <v>1352</v>
      </c>
      <c r="B539" t="s">
        <v>1353</v>
      </c>
      <c r="C539" t="s">
        <v>1312</v>
      </c>
      <c r="D539">
        <v>0.63</v>
      </c>
      <c r="E539">
        <v>0.48</v>
      </c>
      <c r="F539">
        <v>1.27</v>
      </c>
      <c r="G539">
        <v>0</v>
      </c>
      <c r="H539">
        <v>0</v>
      </c>
      <c r="I539">
        <v>100</v>
      </c>
      <c r="J539">
        <v>0</v>
      </c>
      <c r="K539" t="s">
        <v>344</v>
      </c>
      <c r="L539">
        <v>503</v>
      </c>
      <c r="M539">
        <v>384</v>
      </c>
      <c r="N539" s="1">
        <f t="shared" si="16"/>
        <v>0.23658051689860837</v>
      </c>
      <c r="O539" s="1">
        <f t="shared" si="17"/>
        <v>0.76341948310139163</v>
      </c>
    </row>
    <row r="540" spans="1:15" x14ac:dyDescent="0.25">
      <c r="A540" t="s">
        <v>1354</v>
      </c>
      <c r="B540" t="s">
        <v>1355</v>
      </c>
      <c r="C540" t="s">
        <v>1173</v>
      </c>
      <c r="D540">
        <v>0.63</v>
      </c>
      <c r="E540">
        <v>0.46</v>
      </c>
      <c r="F540">
        <v>1.27</v>
      </c>
      <c r="G540">
        <v>0</v>
      </c>
      <c r="H540">
        <v>25.19</v>
      </c>
      <c r="I540">
        <v>74.81</v>
      </c>
      <c r="J540">
        <v>0</v>
      </c>
      <c r="K540" t="s">
        <v>344</v>
      </c>
      <c r="L540">
        <v>503</v>
      </c>
      <c r="M540">
        <v>384</v>
      </c>
      <c r="N540" s="1">
        <f t="shared" si="16"/>
        <v>0.23658051689860837</v>
      </c>
      <c r="O540" s="1">
        <f t="shared" si="17"/>
        <v>0.76341948310139163</v>
      </c>
    </row>
    <row r="541" spans="1:15" x14ac:dyDescent="0.25">
      <c r="A541" t="s">
        <v>1356</v>
      </c>
      <c r="B541" t="s">
        <v>1357</v>
      </c>
      <c r="C541" t="s">
        <v>1358</v>
      </c>
      <c r="D541">
        <v>0.63</v>
      </c>
      <c r="E541">
        <v>0.68</v>
      </c>
      <c r="F541">
        <v>1.28</v>
      </c>
      <c r="G541">
        <v>0</v>
      </c>
      <c r="H541">
        <v>48</v>
      </c>
      <c r="I541">
        <v>52</v>
      </c>
      <c r="J541">
        <v>0</v>
      </c>
      <c r="K541" t="s">
        <v>344</v>
      </c>
      <c r="L541">
        <v>503</v>
      </c>
      <c r="M541">
        <v>384</v>
      </c>
      <c r="N541" s="1">
        <f t="shared" si="16"/>
        <v>0.23658051689860837</v>
      </c>
      <c r="O541" s="1">
        <f t="shared" si="17"/>
        <v>0.76341948310139163</v>
      </c>
    </row>
    <row r="542" spans="1:15" x14ac:dyDescent="0.25">
      <c r="A542" t="s">
        <v>1359</v>
      </c>
      <c r="B542" t="s">
        <v>1360</v>
      </c>
      <c r="C542" t="s">
        <v>1141</v>
      </c>
      <c r="D542">
        <v>0.63</v>
      </c>
      <c r="E542">
        <v>0.45</v>
      </c>
      <c r="F542">
        <v>1.28</v>
      </c>
      <c r="G542">
        <v>0</v>
      </c>
      <c r="H542">
        <v>0</v>
      </c>
      <c r="I542">
        <v>100</v>
      </c>
      <c r="J542">
        <v>0</v>
      </c>
      <c r="K542" t="s">
        <v>344</v>
      </c>
      <c r="L542">
        <v>503</v>
      </c>
      <c r="M542">
        <v>384</v>
      </c>
      <c r="N542" s="1">
        <f t="shared" si="16"/>
        <v>0.23658051689860837</v>
      </c>
      <c r="O542" s="1">
        <f t="shared" si="17"/>
        <v>0.76341948310139163</v>
      </c>
    </row>
    <row r="543" spans="1:15" x14ac:dyDescent="0.25">
      <c r="A543" t="s">
        <v>1361</v>
      </c>
      <c r="B543" t="s">
        <v>1362</v>
      </c>
      <c r="C543" t="s">
        <v>1141</v>
      </c>
      <c r="D543">
        <v>0.62</v>
      </c>
      <c r="E543">
        <v>0.45</v>
      </c>
      <c r="F543">
        <v>1.24</v>
      </c>
      <c r="G543">
        <v>0</v>
      </c>
      <c r="H543">
        <v>0</v>
      </c>
      <c r="I543">
        <v>100</v>
      </c>
      <c r="J543">
        <v>0</v>
      </c>
      <c r="K543" t="s">
        <v>344</v>
      </c>
      <c r="L543">
        <v>503</v>
      </c>
      <c r="M543">
        <v>385</v>
      </c>
      <c r="N543" s="1">
        <f t="shared" si="16"/>
        <v>0.23459244532803181</v>
      </c>
      <c r="O543" s="1">
        <f t="shared" si="17"/>
        <v>0.76540755467196819</v>
      </c>
    </row>
    <row r="544" spans="1:15" x14ac:dyDescent="0.25">
      <c r="A544" t="s">
        <v>1363</v>
      </c>
      <c r="B544" t="s">
        <v>1364</v>
      </c>
      <c r="C544" t="s">
        <v>1077</v>
      </c>
      <c r="D544">
        <v>0.61</v>
      </c>
      <c r="E544">
        <v>0.56999999999999995</v>
      </c>
      <c r="F544">
        <v>1.24</v>
      </c>
      <c r="G544">
        <v>0</v>
      </c>
      <c r="H544">
        <v>0</v>
      </c>
      <c r="I544">
        <v>100</v>
      </c>
      <c r="J544">
        <v>0</v>
      </c>
      <c r="K544" t="s">
        <v>344</v>
      </c>
      <c r="L544">
        <v>503</v>
      </c>
      <c r="M544">
        <v>385</v>
      </c>
      <c r="N544" s="1">
        <f t="shared" si="16"/>
        <v>0.23459244532803181</v>
      </c>
      <c r="O544" s="1">
        <f t="shared" si="17"/>
        <v>0.76540755467196819</v>
      </c>
    </row>
    <row r="545" spans="1:15" x14ac:dyDescent="0.25">
      <c r="A545" t="s">
        <v>1365</v>
      </c>
      <c r="B545" t="s">
        <v>1366</v>
      </c>
      <c r="C545" t="s">
        <v>1367</v>
      </c>
      <c r="D545">
        <v>0.61</v>
      </c>
      <c r="E545">
        <v>0.46</v>
      </c>
      <c r="F545">
        <v>1.24</v>
      </c>
      <c r="G545">
        <v>0</v>
      </c>
      <c r="H545">
        <v>49.99</v>
      </c>
      <c r="I545">
        <v>50.01</v>
      </c>
      <c r="J545">
        <v>0</v>
      </c>
      <c r="K545" t="s">
        <v>344</v>
      </c>
      <c r="L545">
        <v>503</v>
      </c>
      <c r="M545">
        <v>385</v>
      </c>
      <c r="N545" s="1">
        <f t="shared" si="16"/>
        <v>0.23459244532803181</v>
      </c>
      <c r="O545" s="1">
        <f t="shared" si="17"/>
        <v>0.76540755467196819</v>
      </c>
    </row>
    <row r="546" spans="1:15" x14ac:dyDescent="0.25">
      <c r="A546" t="s">
        <v>1368</v>
      </c>
      <c r="B546" t="s">
        <v>1369</v>
      </c>
      <c r="C546" t="s">
        <v>1370</v>
      </c>
      <c r="D546">
        <v>0.61</v>
      </c>
      <c r="E546">
        <v>0.45</v>
      </c>
      <c r="F546">
        <v>1.23</v>
      </c>
      <c r="G546">
        <v>0</v>
      </c>
      <c r="H546">
        <v>20</v>
      </c>
      <c r="I546">
        <v>80</v>
      </c>
      <c r="J546">
        <v>0</v>
      </c>
      <c r="K546" t="s">
        <v>344</v>
      </c>
      <c r="L546">
        <v>503</v>
      </c>
      <c r="M546">
        <v>386</v>
      </c>
      <c r="N546" s="1">
        <f t="shared" si="16"/>
        <v>0.23260437375745524</v>
      </c>
      <c r="O546" s="1">
        <f t="shared" si="17"/>
        <v>0.76739562624254476</v>
      </c>
    </row>
    <row r="547" spans="1:15" x14ac:dyDescent="0.25">
      <c r="A547" t="s">
        <v>1371</v>
      </c>
      <c r="B547" t="s">
        <v>1372</v>
      </c>
      <c r="C547" t="s">
        <v>1373</v>
      </c>
      <c r="D547">
        <v>0.6</v>
      </c>
      <c r="E547">
        <v>0.54</v>
      </c>
      <c r="F547">
        <v>1.21</v>
      </c>
      <c r="G547">
        <v>0</v>
      </c>
      <c r="H547">
        <v>40</v>
      </c>
      <c r="I547">
        <v>60</v>
      </c>
      <c r="J547">
        <v>0</v>
      </c>
      <c r="K547" t="s">
        <v>344</v>
      </c>
      <c r="L547">
        <v>503</v>
      </c>
      <c r="M547">
        <v>387</v>
      </c>
      <c r="N547" s="1">
        <f t="shared" si="16"/>
        <v>0.23061630218687867</v>
      </c>
      <c r="O547" s="1">
        <f t="shared" si="17"/>
        <v>0.76938369781312133</v>
      </c>
    </row>
    <row r="548" spans="1:15" x14ac:dyDescent="0.25">
      <c r="A548" t="s">
        <v>1374</v>
      </c>
      <c r="B548" t="s">
        <v>1375</v>
      </c>
      <c r="C548" t="s">
        <v>1376</v>
      </c>
      <c r="D548">
        <v>0.6</v>
      </c>
      <c r="E548">
        <v>0</v>
      </c>
      <c r="F548">
        <v>1.21</v>
      </c>
      <c r="G548">
        <v>0</v>
      </c>
      <c r="H548">
        <v>0</v>
      </c>
      <c r="I548">
        <v>100</v>
      </c>
      <c r="J548">
        <v>0</v>
      </c>
      <c r="K548" t="s">
        <v>344</v>
      </c>
      <c r="L548">
        <v>503</v>
      </c>
      <c r="M548">
        <v>387</v>
      </c>
      <c r="N548" s="1">
        <f t="shared" si="16"/>
        <v>0.23061630218687867</v>
      </c>
      <c r="O548" s="1">
        <f t="shared" si="17"/>
        <v>0.76938369781312133</v>
      </c>
    </row>
    <row r="549" spans="1:15" x14ac:dyDescent="0.25">
      <c r="A549" t="s">
        <v>1377</v>
      </c>
      <c r="B549" t="s">
        <v>1378</v>
      </c>
      <c r="C549" t="s">
        <v>1237</v>
      </c>
      <c r="D549">
        <v>0.59</v>
      </c>
      <c r="E549">
        <v>0.46</v>
      </c>
      <c r="F549">
        <v>1.19</v>
      </c>
      <c r="G549">
        <v>0</v>
      </c>
      <c r="H549">
        <v>16.03</v>
      </c>
      <c r="I549">
        <v>83.97</v>
      </c>
      <c r="J549">
        <v>0</v>
      </c>
      <c r="K549" t="s">
        <v>344</v>
      </c>
      <c r="L549">
        <v>503</v>
      </c>
      <c r="M549">
        <v>387</v>
      </c>
      <c r="N549" s="1">
        <f t="shared" si="16"/>
        <v>0.23061630218687867</v>
      </c>
      <c r="O549" s="1">
        <f t="shared" si="17"/>
        <v>0.76938369781312133</v>
      </c>
    </row>
    <row r="550" spans="1:15" x14ac:dyDescent="0.25">
      <c r="A550" t="s">
        <v>1379</v>
      </c>
      <c r="B550" t="s">
        <v>1380</v>
      </c>
      <c r="C550" t="s">
        <v>539</v>
      </c>
      <c r="D550">
        <v>0.57999999999999996</v>
      </c>
      <c r="E550">
        <v>2.56</v>
      </c>
      <c r="F550">
        <v>1.17</v>
      </c>
      <c r="G550">
        <v>2.86</v>
      </c>
      <c r="H550">
        <v>77.319999999999993</v>
      </c>
      <c r="I550">
        <v>1.85</v>
      </c>
      <c r="J550">
        <v>1.18</v>
      </c>
      <c r="K550" t="s">
        <v>344</v>
      </c>
      <c r="L550">
        <v>503</v>
      </c>
      <c r="M550">
        <v>387</v>
      </c>
      <c r="N550" s="1">
        <f t="shared" si="16"/>
        <v>0.23061630218687867</v>
      </c>
      <c r="O550" s="1">
        <f t="shared" si="17"/>
        <v>0.76938369781312133</v>
      </c>
    </row>
    <row r="551" spans="1:15" x14ac:dyDescent="0.25">
      <c r="A551" t="s">
        <v>1381</v>
      </c>
      <c r="B551" t="s">
        <v>1382</v>
      </c>
      <c r="C551" t="s">
        <v>1383</v>
      </c>
      <c r="D551">
        <v>0.56000000000000005</v>
      </c>
      <c r="E551">
        <v>0.45</v>
      </c>
      <c r="F551">
        <v>1.1399999999999999</v>
      </c>
      <c r="G551">
        <v>0</v>
      </c>
      <c r="H551">
        <v>9.9700000000000006</v>
      </c>
      <c r="I551">
        <v>90</v>
      </c>
      <c r="J551">
        <v>0</v>
      </c>
      <c r="K551" t="s">
        <v>344</v>
      </c>
      <c r="L551">
        <v>503</v>
      </c>
      <c r="M551">
        <v>387</v>
      </c>
      <c r="N551" s="1">
        <f t="shared" si="16"/>
        <v>0.23061630218687867</v>
      </c>
      <c r="O551" s="1">
        <f t="shared" si="17"/>
        <v>0.76938369781312133</v>
      </c>
    </row>
    <row r="552" spans="1:15" x14ac:dyDescent="0.25">
      <c r="A552" t="s">
        <v>1384</v>
      </c>
      <c r="B552" t="s">
        <v>1385</v>
      </c>
      <c r="C552" t="s">
        <v>1091</v>
      </c>
      <c r="D552">
        <v>0.56000000000000005</v>
      </c>
      <c r="E552">
        <v>1.62</v>
      </c>
      <c r="F552">
        <v>1.1299999999999999</v>
      </c>
      <c r="G552">
        <v>0</v>
      </c>
      <c r="H552">
        <v>0</v>
      </c>
      <c r="I552">
        <v>100</v>
      </c>
      <c r="J552">
        <v>0</v>
      </c>
      <c r="K552" t="s">
        <v>344</v>
      </c>
      <c r="L552">
        <v>503</v>
      </c>
      <c r="M552">
        <v>387</v>
      </c>
      <c r="N552" s="1">
        <f t="shared" si="16"/>
        <v>0.23061630218687867</v>
      </c>
      <c r="O552" s="1">
        <f t="shared" si="17"/>
        <v>0.76938369781312133</v>
      </c>
    </row>
    <row r="553" spans="1:15" x14ac:dyDescent="0.25">
      <c r="A553" t="s">
        <v>1386</v>
      </c>
      <c r="B553" t="s">
        <v>1387</v>
      </c>
      <c r="D553">
        <v>0.56000000000000005</v>
      </c>
      <c r="E553">
        <v>0</v>
      </c>
      <c r="F553">
        <v>1.1399999999999999</v>
      </c>
      <c r="G553">
        <v>0</v>
      </c>
      <c r="H553">
        <v>82.84</v>
      </c>
      <c r="I553">
        <v>1.96</v>
      </c>
      <c r="J553">
        <v>0</v>
      </c>
      <c r="K553" t="s">
        <v>344</v>
      </c>
      <c r="L553">
        <v>503</v>
      </c>
      <c r="M553">
        <v>387</v>
      </c>
      <c r="N553" s="1">
        <f t="shared" si="16"/>
        <v>0.23061630218687867</v>
      </c>
      <c r="O553" s="1">
        <f t="shared" si="17"/>
        <v>0.76938369781312133</v>
      </c>
    </row>
    <row r="554" spans="1:15" x14ac:dyDescent="0.25">
      <c r="A554" t="s">
        <v>1388</v>
      </c>
      <c r="B554" t="s">
        <v>1389</v>
      </c>
      <c r="C554" t="s">
        <v>810</v>
      </c>
      <c r="D554">
        <v>0.56000000000000005</v>
      </c>
      <c r="E554">
        <v>3.17</v>
      </c>
      <c r="F554">
        <v>1.1299999999999999</v>
      </c>
      <c r="G554">
        <v>5.51</v>
      </c>
      <c r="H554">
        <v>87.06</v>
      </c>
      <c r="I554">
        <v>0.94</v>
      </c>
      <c r="J554">
        <v>1.1100000000000001</v>
      </c>
      <c r="K554" t="s">
        <v>344</v>
      </c>
      <c r="L554">
        <v>503</v>
      </c>
      <c r="M554">
        <v>388</v>
      </c>
      <c r="N554" s="1">
        <f t="shared" si="16"/>
        <v>0.22862823061630222</v>
      </c>
      <c r="O554" s="1">
        <f t="shared" si="17"/>
        <v>0.77137176938369778</v>
      </c>
    </row>
    <row r="555" spans="1:15" x14ac:dyDescent="0.25">
      <c r="A555" t="s">
        <v>1390</v>
      </c>
      <c r="B555" t="s">
        <v>1391</v>
      </c>
      <c r="C555" t="s">
        <v>1091</v>
      </c>
      <c r="D555">
        <v>0.55000000000000004</v>
      </c>
      <c r="E555">
        <v>1.61</v>
      </c>
      <c r="F555">
        <v>1.1200000000000001</v>
      </c>
      <c r="G555">
        <v>0</v>
      </c>
      <c r="H555">
        <v>16.41</v>
      </c>
      <c r="I555">
        <v>76.3</v>
      </c>
      <c r="J555">
        <v>0</v>
      </c>
      <c r="K555" t="s">
        <v>344</v>
      </c>
      <c r="L555">
        <v>503</v>
      </c>
      <c r="M555">
        <v>388</v>
      </c>
      <c r="N555" s="1">
        <f t="shared" si="16"/>
        <v>0.22862823061630222</v>
      </c>
      <c r="O555" s="1">
        <f t="shared" si="17"/>
        <v>0.77137176938369778</v>
      </c>
    </row>
    <row r="556" spans="1:15" x14ac:dyDescent="0.25">
      <c r="A556" t="s">
        <v>1392</v>
      </c>
      <c r="B556" t="s">
        <v>1393</v>
      </c>
      <c r="C556" t="s">
        <v>1376</v>
      </c>
      <c r="D556">
        <v>0.55000000000000004</v>
      </c>
      <c r="E556">
        <v>0</v>
      </c>
      <c r="F556">
        <v>1.1100000000000001</v>
      </c>
      <c r="G556">
        <v>0</v>
      </c>
      <c r="H556">
        <v>0</v>
      </c>
      <c r="I556">
        <v>99.99</v>
      </c>
      <c r="J556">
        <v>0</v>
      </c>
      <c r="K556" t="s">
        <v>344</v>
      </c>
      <c r="L556">
        <v>503</v>
      </c>
      <c r="M556">
        <v>388</v>
      </c>
      <c r="N556" s="1">
        <f t="shared" si="16"/>
        <v>0.22862823061630222</v>
      </c>
      <c r="O556" s="1">
        <f t="shared" si="17"/>
        <v>0.77137176938369778</v>
      </c>
    </row>
    <row r="557" spans="1:15" x14ac:dyDescent="0.25">
      <c r="A557" t="s">
        <v>1394</v>
      </c>
      <c r="B557" t="s">
        <v>1395</v>
      </c>
      <c r="C557" t="s">
        <v>1396</v>
      </c>
      <c r="D557">
        <v>0.53</v>
      </c>
      <c r="E557">
        <v>0.51</v>
      </c>
      <c r="F557">
        <v>1.07</v>
      </c>
      <c r="G557">
        <v>0</v>
      </c>
      <c r="H557">
        <v>25</v>
      </c>
      <c r="I557">
        <v>75</v>
      </c>
      <c r="J557">
        <v>0</v>
      </c>
      <c r="K557" t="s">
        <v>344</v>
      </c>
      <c r="L557">
        <v>503</v>
      </c>
      <c r="M557">
        <v>388</v>
      </c>
      <c r="N557" s="1">
        <f t="shared" si="16"/>
        <v>0.22862823061630222</v>
      </c>
      <c r="O557" s="1">
        <f t="shared" si="17"/>
        <v>0.77137176938369778</v>
      </c>
    </row>
    <row r="558" spans="1:15" x14ac:dyDescent="0.25">
      <c r="A558" t="s">
        <v>1397</v>
      </c>
      <c r="B558" t="s">
        <v>1398</v>
      </c>
      <c r="C558" t="s">
        <v>756</v>
      </c>
      <c r="D558">
        <v>0.5</v>
      </c>
      <c r="E558">
        <v>2.39</v>
      </c>
      <c r="F558">
        <v>1.02</v>
      </c>
      <c r="G558">
        <v>12.18</v>
      </c>
      <c r="H558">
        <v>65.989999999999995</v>
      </c>
      <c r="I558">
        <v>1.82</v>
      </c>
      <c r="J558">
        <v>4.6900000000000004</v>
      </c>
      <c r="K558" t="s">
        <v>344</v>
      </c>
      <c r="L558">
        <v>503</v>
      </c>
      <c r="M558">
        <v>390</v>
      </c>
      <c r="N558" s="1">
        <f t="shared" si="16"/>
        <v>0.22465208747514909</v>
      </c>
      <c r="O558" s="1">
        <f t="shared" si="17"/>
        <v>0.77534791252485091</v>
      </c>
    </row>
    <row r="559" spans="1:15" x14ac:dyDescent="0.25">
      <c r="A559" t="s">
        <v>1399</v>
      </c>
      <c r="B559" t="s">
        <v>1400</v>
      </c>
      <c r="C559" t="s">
        <v>1401</v>
      </c>
      <c r="D559">
        <v>0.45</v>
      </c>
      <c r="E559">
        <v>0.08</v>
      </c>
      <c r="F559">
        <v>0.91</v>
      </c>
      <c r="G559">
        <v>0</v>
      </c>
      <c r="H559">
        <v>89.1</v>
      </c>
      <c r="I559">
        <v>1</v>
      </c>
      <c r="J559">
        <v>0</v>
      </c>
      <c r="K559" t="s">
        <v>344</v>
      </c>
      <c r="L559">
        <v>503</v>
      </c>
      <c r="M559">
        <v>400</v>
      </c>
      <c r="N559" s="1">
        <f t="shared" si="16"/>
        <v>0.20477137176938365</v>
      </c>
      <c r="O559" s="1">
        <f t="shared" si="17"/>
        <v>0.79522862823061635</v>
      </c>
    </row>
    <row r="560" spans="1:15" x14ac:dyDescent="0.25">
      <c r="A560" t="s">
        <v>1402</v>
      </c>
      <c r="B560" t="s">
        <v>1403</v>
      </c>
      <c r="C560" t="s">
        <v>1404</v>
      </c>
      <c r="D560">
        <v>0.44</v>
      </c>
      <c r="E560">
        <v>1.43</v>
      </c>
      <c r="F560">
        <v>0.89</v>
      </c>
      <c r="G560">
        <v>6</v>
      </c>
      <c r="H560">
        <v>84.94</v>
      </c>
      <c r="I560">
        <v>7</v>
      </c>
      <c r="J560">
        <v>1</v>
      </c>
      <c r="K560" t="s">
        <v>344</v>
      </c>
      <c r="L560">
        <v>503</v>
      </c>
      <c r="M560">
        <v>401</v>
      </c>
      <c r="N560" s="1">
        <f t="shared" si="16"/>
        <v>0.20278330019880719</v>
      </c>
      <c r="O560" s="1">
        <f t="shared" si="17"/>
        <v>0.79721669980119281</v>
      </c>
    </row>
    <row r="561" spans="1:15" x14ac:dyDescent="0.25">
      <c r="A561" t="s">
        <v>1405</v>
      </c>
      <c r="B561" t="s">
        <v>1406</v>
      </c>
      <c r="C561" t="s">
        <v>1407</v>
      </c>
      <c r="D561">
        <v>0.44</v>
      </c>
      <c r="E561">
        <v>2.1800000000000002</v>
      </c>
      <c r="F561">
        <v>0.88</v>
      </c>
      <c r="G561">
        <v>6</v>
      </c>
      <c r="H561">
        <v>86</v>
      </c>
      <c r="I561">
        <v>6</v>
      </c>
      <c r="J561">
        <v>2</v>
      </c>
      <c r="K561" t="s">
        <v>344</v>
      </c>
      <c r="L561">
        <v>503</v>
      </c>
      <c r="M561">
        <v>401</v>
      </c>
      <c r="N561" s="1">
        <f t="shared" si="16"/>
        <v>0.20278330019880719</v>
      </c>
      <c r="O561" s="1">
        <f t="shared" si="17"/>
        <v>0.79721669980119281</v>
      </c>
    </row>
    <row r="562" spans="1:15" x14ac:dyDescent="0.25">
      <c r="A562" t="s">
        <v>1408</v>
      </c>
      <c r="B562" t="s">
        <v>1409</v>
      </c>
      <c r="C562" t="s">
        <v>774</v>
      </c>
      <c r="D562">
        <v>0.42</v>
      </c>
      <c r="E562">
        <v>2.5099999999999998</v>
      </c>
      <c r="F562">
        <v>0.84</v>
      </c>
      <c r="G562">
        <v>7.3</v>
      </c>
      <c r="H562">
        <v>75.400000000000006</v>
      </c>
      <c r="I562">
        <v>1.86</v>
      </c>
      <c r="J562">
        <v>0</v>
      </c>
      <c r="K562" t="s">
        <v>344</v>
      </c>
      <c r="L562">
        <v>503</v>
      </c>
      <c r="M562">
        <v>403</v>
      </c>
      <c r="N562" s="1">
        <f t="shared" si="16"/>
        <v>0.19880715705765406</v>
      </c>
      <c r="O562" s="1">
        <f t="shared" si="17"/>
        <v>0.80119284294234594</v>
      </c>
    </row>
    <row r="563" spans="1:15" x14ac:dyDescent="0.25">
      <c r="A563" t="s">
        <v>1410</v>
      </c>
      <c r="B563" t="s">
        <v>1411</v>
      </c>
      <c r="D563">
        <v>0.41</v>
      </c>
      <c r="E563">
        <v>0</v>
      </c>
      <c r="F563">
        <v>0.84</v>
      </c>
      <c r="G563">
        <v>0</v>
      </c>
      <c r="H563">
        <v>0</v>
      </c>
      <c r="I563">
        <v>100</v>
      </c>
      <c r="J563">
        <v>0</v>
      </c>
      <c r="K563" t="s">
        <v>344</v>
      </c>
      <c r="L563">
        <v>503</v>
      </c>
      <c r="M563">
        <v>403</v>
      </c>
      <c r="N563" s="1">
        <f t="shared" si="16"/>
        <v>0.19880715705765406</v>
      </c>
      <c r="O563" s="1">
        <f t="shared" si="17"/>
        <v>0.80119284294234594</v>
      </c>
    </row>
    <row r="564" spans="1:15" x14ac:dyDescent="0.25">
      <c r="A564" t="s">
        <v>1412</v>
      </c>
      <c r="B564" t="s">
        <v>1413</v>
      </c>
      <c r="C564" t="s">
        <v>913</v>
      </c>
      <c r="D564">
        <v>0.39</v>
      </c>
      <c r="E564">
        <v>1.93</v>
      </c>
      <c r="F564">
        <v>0.78</v>
      </c>
      <c r="G564">
        <v>8.4600000000000009</v>
      </c>
      <c r="H564">
        <v>77.44</v>
      </c>
      <c r="I564">
        <v>0.97</v>
      </c>
      <c r="J564">
        <v>0</v>
      </c>
      <c r="K564" t="s">
        <v>344</v>
      </c>
      <c r="L564">
        <v>503</v>
      </c>
      <c r="M564">
        <v>403</v>
      </c>
      <c r="N564" s="1">
        <f t="shared" si="16"/>
        <v>0.19880715705765406</v>
      </c>
      <c r="O564" s="1">
        <f t="shared" si="17"/>
        <v>0.80119284294234594</v>
      </c>
    </row>
    <row r="565" spans="1:15" x14ac:dyDescent="0.25">
      <c r="A565" t="s">
        <v>1414</v>
      </c>
      <c r="B565" t="s">
        <v>1415</v>
      </c>
      <c r="C565" t="s">
        <v>1416</v>
      </c>
      <c r="D565">
        <v>0.39</v>
      </c>
      <c r="E565">
        <v>2.54</v>
      </c>
      <c r="F565">
        <v>0.79</v>
      </c>
      <c r="G565">
        <v>7.5</v>
      </c>
      <c r="H565">
        <v>81.5</v>
      </c>
      <c r="I565">
        <v>9.5</v>
      </c>
      <c r="J565">
        <v>4.5</v>
      </c>
      <c r="K565" t="s">
        <v>344</v>
      </c>
      <c r="L565">
        <v>503</v>
      </c>
      <c r="M565">
        <v>403</v>
      </c>
      <c r="N565" s="1">
        <f t="shared" si="16"/>
        <v>0.19880715705765406</v>
      </c>
      <c r="O565" s="1">
        <f t="shared" si="17"/>
        <v>0.80119284294234594</v>
      </c>
    </row>
    <row r="566" spans="1:15" x14ac:dyDescent="0.25">
      <c r="A566" t="s">
        <v>1417</v>
      </c>
      <c r="B566" t="s">
        <v>1418</v>
      </c>
      <c r="D566">
        <v>0.39</v>
      </c>
      <c r="F566">
        <v>0.79</v>
      </c>
      <c r="G566">
        <v>0</v>
      </c>
      <c r="H566">
        <v>0</v>
      </c>
      <c r="I566">
        <v>100</v>
      </c>
      <c r="J566">
        <v>0</v>
      </c>
      <c r="K566" t="s">
        <v>344</v>
      </c>
      <c r="L566">
        <v>503</v>
      </c>
      <c r="M566">
        <v>403</v>
      </c>
      <c r="N566" s="1">
        <f t="shared" si="16"/>
        <v>0.19880715705765406</v>
      </c>
      <c r="O566" s="1">
        <f t="shared" si="17"/>
        <v>0.80119284294234594</v>
      </c>
    </row>
    <row r="567" spans="1:15" x14ac:dyDescent="0.25">
      <c r="A567" t="s">
        <v>1419</v>
      </c>
      <c r="B567" t="s">
        <v>1420</v>
      </c>
      <c r="C567" t="s">
        <v>1421</v>
      </c>
      <c r="D567">
        <v>0.36</v>
      </c>
      <c r="E567">
        <v>2.33</v>
      </c>
      <c r="F567">
        <v>0.72</v>
      </c>
      <c r="G567">
        <v>3</v>
      </c>
      <c r="H567">
        <v>72</v>
      </c>
      <c r="I567">
        <v>1</v>
      </c>
      <c r="J567">
        <v>0</v>
      </c>
      <c r="K567" t="s">
        <v>344</v>
      </c>
      <c r="L567">
        <v>503</v>
      </c>
      <c r="M567">
        <v>405</v>
      </c>
      <c r="N567" s="1">
        <f t="shared" si="16"/>
        <v>0.19483101391650104</v>
      </c>
      <c r="O567" s="1">
        <f t="shared" si="17"/>
        <v>0.80516898608349896</v>
      </c>
    </row>
    <row r="568" spans="1:15" x14ac:dyDescent="0.25">
      <c r="A568" t="s">
        <v>1422</v>
      </c>
      <c r="B568" t="s">
        <v>1423</v>
      </c>
      <c r="C568" t="s">
        <v>1424</v>
      </c>
      <c r="D568">
        <v>0.36</v>
      </c>
      <c r="E568">
        <v>2.3199999999999998</v>
      </c>
      <c r="F568">
        <v>0.72</v>
      </c>
      <c r="G568">
        <v>3</v>
      </c>
      <c r="H568">
        <v>72</v>
      </c>
      <c r="I568">
        <v>1</v>
      </c>
      <c r="J568">
        <v>0</v>
      </c>
      <c r="K568" t="s">
        <v>344</v>
      </c>
      <c r="L568">
        <v>503</v>
      </c>
      <c r="M568">
        <v>405</v>
      </c>
      <c r="N568" s="1">
        <f t="shared" si="16"/>
        <v>0.19483101391650104</v>
      </c>
      <c r="O568" s="1">
        <f t="shared" si="17"/>
        <v>0.80516898608349896</v>
      </c>
    </row>
    <row r="569" spans="1:15" x14ac:dyDescent="0.25">
      <c r="A569" t="s">
        <v>1425</v>
      </c>
      <c r="B569" t="s">
        <v>1426</v>
      </c>
      <c r="C569" t="s">
        <v>1424</v>
      </c>
      <c r="D569">
        <v>0.36</v>
      </c>
      <c r="E569">
        <v>2.33</v>
      </c>
      <c r="F569">
        <v>0.72</v>
      </c>
      <c r="G569">
        <v>2.76</v>
      </c>
      <c r="H569">
        <v>72.62</v>
      </c>
      <c r="I569">
        <v>1.02</v>
      </c>
      <c r="J569">
        <v>0</v>
      </c>
      <c r="K569" t="s">
        <v>344</v>
      </c>
      <c r="L569">
        <v>503</v>
      </c>
      <c r="M569">
        <v>405</v>
      </c>
      <c r="N569" s="1">
        <f t="shared" si="16"/>
        <v>0.19483101391650104</v>
      </c>
      <c r="O569" s="1">
        <f t="shared" si="17"/>
        <v>0.80516898608349896</v>
      </c>
    </row>
    <row r="570" spans="1:15" x14ac:dyDescent="0.25">
      <c r="A570" t="s">
        <v>1427</v>
      </c>
      <c r="B570" t="s">
        <v>1428</v>
      </c>
      <c r="C570" t="s">
        <v>1424</v>
      </c>
      <c r="D570">
        <v>0.36</v>
      </c>
      <c r="E570">
        <v>2.33</v>
      </c>
      <c r="F570">
        <v>0.72</v>
      </c>
      <c r="G570">
        <v>3</v>
      </c>
      <c r="H570">
        <v>72</v>
      </c>
      <c r="I570">
        <v>1</v>
      </c>
      <c r="J570">
        <v>0</v>
      </c>
      <c r="K570" t="s">
        <v>344</v>
      </c>
      <c r="L570">
        <v>503</v>
      </c>
      <c r="M570">
        <v>405</v>
      </c>
      <c r="N570" s="1">
        <f t="shared" si="16"/>
        <v>0.19483101391650104</v>
      </c>
      <c r="O570" s="1">
        <f t="shared" si="17"/>
        <v>0.80516898608349896</v>
      </c>
    </row>
    <row r="571" spans="1:15" x14ac:dyDescent="0.25">
      <c r="A571" t="s">
        <v>1429</v>
      </c>
      <c r="B571" t="s">
        <v>1430</v>
      </c>
      <c r="C571" t="s">
        <v>1424</v>
      </c>
      <c r="D571">
        <v>0.36</v>
      </c>
      <c r="E571">
        <v>2.33</v>
      </c>
      <c r="F571">
        <v>0.72</v>
      </c>
      <c r="G571">
        <v>3</v>
      </c>
      <c r="H571">
        <v>72</v>
      </c>
      <c r="I571">
        <v>1</v>
      </c>
      <c r="J571">
        <v>0</v>
      </c>
      <c r="K571" t="s">
        <v>344</v>
      </c>
      <c r="L571">
        <v>503</v>
      </c>
      <c r="M571">
        <v>405</v>
      </c>
      <c r="N571" s="1">
        <f t="shared" si="16"/>
        <v>0.19483101391650104</v>
      </c>
      <c r="O571" s="1">
        <f t="shared" si="17"/>
        <v>0.80516898608349896</v>
      </c>
    </row>
    <row r="572" spans="1:15" x14ac:dyDescent="0.25">
      <c r="A572" t="s">
        <v>1431</v>
      </c>
      <c r="B572" t="s">
        <v>1432</v>
      </c>
      <c r="C572" t="s">
        <v>1424</v>
      </c>
      <c r="D572">
        <v>0.36</v>
      </c>
      <c r="E572">
        <v>2.33</v>
      </c>
      <c r="F572">
        <v>0.72</v>
      </c>
      <c r="G572">
        <v>3</v>
      </c>
      <c r="H572">
        <v>72</v>
      </c>
      <c r="I572">
        <v>1</v>
      </c>
      <c r="J572">
        <v>0</v>
      </c>
      <c r="K572" t="s">
        <v>344</v>
      </c>
      <c r="L572">
        <v>503</v>
      </c>
      <c r="M572">
        <v>405</v>
      </c>
      <c r="N572" s="1">
        <f t="shared" si="16"/>
        <v>0.19483101391650104</v>
      </c>
      <c r="O572" s="1">
        <f t="shared" si="17"/>
        <v>0.80516898608349896</v>
      </c>
    </row>
    <row r="573" spans="1:15" x14ac:dyDescent="0.25">
      <c r="A573" t="s">
        <v>1433</v>
      </c>
      <c r="B573" t="s">
        <v>1434</v>
      </c>
      <c r="C573" t="s">
        <v>1424</v>
      </c>
      <c r="D573">
        <v>0.36</v>
      </c>
      <c r="E573">
        <v>2.33</v>
      </c>
      <c r="F573">
        <v>0.72</v>
      </c>
      <c r="G573">
        <v>2.76</v>
      </c>
      <c r="H573">
        <v>72.62</v>
      </c>
      <c r="I573">
        <v>1.02</v>
      </c>
      <c r="J573">
        <v>0</v>
      </c>
      <c r="K573" t="s">
        <v>344</v>
      </c>
      <c r="L573">
        <v>503</v>
      </c>
      <c r="M573">
        <v>405</v>
      </c>
      <c r="N573" s="1">
        <f t="shared" si="16"/>
        <v>0.19483101391650104</v>
      </c>
      <c r="O573" s="1">
        <f t="shared" si="17"/>
        <v>0.80516898608349896</v>
      </c>
    </row>
    <row r="574" spans="1:15" x14ac:dyDescent="0.25">
      <c r="A574" t="s">
        <v>1435</v>
      </c>
      <c r="B574" t="s">
        <v>1436</v>
      </c>
      <c r="C574" t="s">
        <v>1424</v>
      </c>
      <c r="D574">
        <v>0.36</v>
      </c>
      <c r="E574">
        <v>2.33</v>
      </c>
      <c r="F574">
        <v>0.72</v>
      </c>
      <c r="G574">
        <v>3</v>
      </c>
      <c r="H574">
        <v>72</v>
      </c>
      <c r="I574">
        <v>1</v>
      </c>
      <c r="J574">
        <v>0</v>
      </c>
      <c r="K574" t="s">
        <v>344</v>
      </c>
      <c r="L574">
        <v>503</v>
      </c>
      <c r="M574">
        <v>405</v>
      </c>
      <c r="N574" s="1">
        <f t="shared" si="16"/>
        <v>0.19483101391650104</v>
      </c>
      <c r="O574" s="1">
        <f t="shared" si="17"/>
        <v>0.80516898608349896</v>
      </c>
    </row>
    <row r="575" spans="1:15" x14ac:dyDescent="0.25">
      <c r="A575" t="s">
        <v>1437</v>
      </c>
      <c r="B575" t="s">
        <v>1438</v>
      </c>
      <c r="C575" t="s">
        <v>968</v>
      </c>
      <c r="D575">
        <v>0.36</v>
      </c>
      <c r="E575">
        <v>1.06</v>
      </c>
      <c r="F575">
        <v>0.72</v>
      </c>
      <c r="G575">
        <v>2.76</v>
      </c>
      <c r="H575">
        <v>72.62</v>
      </c>
      <c r="I575">
        <v>1.02</v>
      </c>
      <c r="J575">
        <v>0</v>
      </c>
      <c r="K575" t="s">
        <v>344</v>
      </c>
      <c r="L575">
        <v>503</v>
      </c>
      <c r="M575">
        <v>405</v>
      </c>
      <c r="N575" s="1">
        <f t="shared" si="16"/>
        <v>0.19483101391650104</v>
      </c>
      <c r="O575" s="1">
        <f t="shared" si="17"/>
        <v>0.80516898608349896</v>
      </c>
    </row>
    <row r="576" spans="1:15" x14ac:dyDescent="0.25">
      <c r="A576" t="s">
        <v>1439</v>
      </c>
      <c r="B576" t="s">
        <v>1440</v>
      </c>
      <c r="C576" t="s">
        <v>1441</v>
      </c>
      <c r="D576">
        <v>0.26</v>
      </c>
      <c r="E576">
        <v>2.21</v>
      </c>
      <c r="F576">
        <v>0.53</v>
      </c>
      <c r="G576">
        <v>0</v>
      </c>
      <c r="H576">
        <v>0</v>
      </c>
      <c r="I576">
        <v>100</v>
      </c>
      <c r="J576">
        <v>0</v>
      </c>
      <c r="K576" t="s">
        <v>344</v>
      </c>
      <c r="L576">
        <v>503</v>
      </c>
      <c r="M576">
        <v>411</v>
      </c>
      <c r="N576" s="1">
        <f t="shared" si="16"/>
        <v>0.18290258449304175</v>
      </c>
      <c r="O576" s="1">
        <f t="shared" si="17"/>
        <v>0.81709741550695825</v>
      </c>
    </row>
    <row r="577" spans="1:15" x14ac:dyDescent="0.25">
      <c r="A577" t="s">
        <v>1442</v>
      </c>
      <c r="B577" t="s">
        <v>1443</v>
      </c>
      <c r="D577">
        <v>0.25</v>
      </c>
      <c r="E577">
        <v>0</v>
      </c>
      <c r="F577">
        <v>0.51</v>
      </c>
      <c r="G577">
        <v>0</v>
      </c>
      <c r="H577">
        <v>0</v>
      </c>
      <c r="I577">
        <v>100</v>
      </c>
      <c r="J577">
        <v>0</v>
      </c>
      <c r="K577" t="s">
        <v>344</v>
      </c>
      <c r="L577">
        <v>503</v>
      </c>
      <c r="M577">
        <v>411</v>
      </c>
      <c r="N577" s="1">
        <f t="shared" si="16"/>
        <v>0.18290258449304175</v>
      </c>
      <c r="O577" s="1">
        <f t="shared" si="17"/>
        <v>0.81709741550695825</v>
      </c>
    </row>
    <row r="578" spans="1:15" x14ac:dyDescent="0.25">
      <c r="A578" t="s">
        <v>1444</v>
      </c>
      <c r="B578" t="s">
        <v>1445</v>
      </c>
      <c r="D578">
        <v>0.25</v>
      </c>
      <c r="E578">
        <v>0</v>
      </c>
      <c r="F578">
        <v>0.51</v>
      </c>
      <c r="G578">
        <v>0</v>
      </c>
      <c r="H578">
        <v>0</v>
      </c>
      <c r="I578">
        <v>100</v>
      </c>
      <c r="J578">
        <v>0</v>
      </c>
      <c r="K578" t="s">
        <v>344</v>
      </c>
      <c r="L578">
        <v>503</v>
      </c>
      <c r="M578">
        <v>411</v>
      </c>
      <c r="N578" s="1">
        <f t="shared" ref="N578:N641" si="18">1-O578</f>
        <v>0.18290258449304175</v>
      </c>
      <c r="O578" s="1">
        <f t="shared" ref="O578:O641" si="19">M578/L578</f>
        <v>0.81709741550695825</v>
      </c>
    </row>
    <row r="579" spans="1:15" x14ac:dyDescent="0.25">
      <c r="A579" t="s">
        <v>1446</v>
      </c>
      <c r="B579" t="s">
        <v>1447</v>
      </c>
      <c r="C579" t="s">
        <v>1448</v>
      </c>
      <c r="D579">
        <v>0.25</v>
      </c>
      <c r="E579">
        <v>0</v>
      </c>
      <c r="F579">
        <v>0.51</v>
      </c>
      <c r="G579">
        <v>0</v>
      </c>
      <c r="H579">
        <v>0</v>
      </c>
      <c r="I579">
        <v>100</v>
      </c>
      <c r="J579">
        <v>0</v>
      </c>
      <c r="K579" t="s">
        <v>344</v>
      </c>
      <c r="L579">
        <v>503</v>
      </c>
      <c r="M579">
        <v>411</v>
      </c>
      <c r="N579" s="1">
        <f t="shared" si="18"/>
        <v>0.18290258449304175</v>
      </c>
      <c r="O579" s="1">
        <f t="shared" si="19"/>
        <v>0.81709741550695825</v>
      </c>
    </row>
    <row r="580" spans="1:15" x14ac:dyDescent="0.25">
      <c r="A580" t="s">
        <v>1449</v>
      </c>
      <c r="B580" t="s">
        <v>1450</v>
      </c>
      <c r="D580">
        <v>0.22</v>
      </c>
      <c r="E580">
        <v>0</v>
      </c>
      <c r="F580">
        <v>0.44</v>
      </c>
      <c r="G580">
        <v>0</v>
      </c>
      <c r="H580">
        <v>0</v>
      </c>
      <c r="I580">
        <v>100</v>
      </c>
      <c r="J580">
        <v>0</v>
      </c>
      <c r="K580" t="s">
        <v>344</v>
      </c>
      <c r="L580">
        <v>503</v>
      </c>
      <c r="M580">
        <v>414</v>
      </c>
      <c r="N580" s="1">
        <f t="shared" si="18"/>
        <v>0.17693836978131217</v>
      </c>
      <c r="O580" s="1">
        <f t="shared" si="19"/>
        <v>0.82306163021868783</v>
      </c>
    </row>
    <row r="581" spans="1:15" x14ac:dyDescent="0.25">
      <c r="A581" t="s">
        <v>1451</v>
      </c>
      <c r="B581" t="s">
        <v>1452</v>
      </c>
      <c r="D581">
        <v>0.2</v>
      </c>
      <c r="F581">
        <v>0.7</v>
      </c>
      <c r="G581">
        <v>0</v>
      </c>
      <c r="H581">
        <v>90.82</v>
      </c>
      <c r="I581">
        <v>7.22</v>
      </c>
      <c r="J581">
        <v>0</v>
      </c>
      <c r="K581" t="s">
        <v>344</v>
      </c>
      <c r="L581">
        <v>503</v>
      </c>
      <c r="M581">
        <v>416</v>
      </c>
      <c r="N581" s="1">
        <f t="shared" si="18"/>
        <v>0.17296222664015903</v>
      </c>
      <c r="O581" s="1">
        <f t="shared" si="19"/>
        <v>0.82703777335984097</v>
      </c>
    </row>
    <row r="582" spans="1:15" x14ac:dyDescent="0.25">
      <c r="A582" t="s">
        <v>1453</v>
      </c>
      <c r="B582" t="s">
        <v>1454</v>
      </c>
      <c r="C582" t="s">
        <v>913</v>
      </c>
      <c r="D582">
        <v>0.13</v>
      </c>
      <c r="E582">
        <v>1.92</v>
      </c>
      <c r="F582">
        <v>0.27</v>
      </c>
      <c r="G582">
        <v>7</v>
      </c>
      <c r="H582">
        <v>77.97</v>
      </c>
      <c r="I582">
        <v>0.97</v>
      </c>
      <c r="J582">
        <v>0</v>
      </c>
      <c r="K582" t="s">
        <v>344</v>
      </c>
      <c r="L582">
        <v>503</v>
      </c>
      <c r="M582">
        <v>422</v>
      </c>
      <c r="N582" s="1">
        <f t="shared" si="18"/>
        <v>0.16103379721669975</v>
      </c>
      <c r="O582" s="1">
        <f t="shared" si="19"/>
        <v>0.83896620278330025</v>
      </c>
    </row>
    <row r="583" spans="1:15" x14ac:dyDescent="0.25">
      <c r="A583" t="s">
        <v>1455</v>
      </c>
      <c r="B583" t="s">
        <v>1456</v>
      </c>
      <c r="C583" t="s">
        <v>1060</v>
      </c>
      <c r="D583">
        <v>0.13</v>
      </c>
      <c r="E583">
        <v>3.17</v>
      </c>
      <c r="F583">
        <v>0.27</v>
      </c>
      <c r="G583">
        <v>7.05</v>
      </c>
      <c r="H583">
        <v>72.69</v>
      </c>
      <c r="I583">
        <v>1.83</v>
      </c>
      <c r="J583">
        <v>0</v>
      </c>
      <c r="K583" t="s">
        <v>344</v>
      </c>
      <c r="L583">
        <v>503</v>
      </c>
      <c r="M583">
        <v>422</v>
      </c>
      <c r="N583" s="1">
        <f t="shared" si="18"/>
        <v>0.16103379721669975</v>
      </c>
      <c r="O583" s="1">
        <f t="shared" si="19"/>
        <v>0.83896620278330025</v>
      </c>
    </row>
    <row r="584" spans="1:15" x14ac:dyDescent="0.25">
      <c r="A584" t="s">
        <v>1457</v>
      </c>
      <c r="B584" t="s">
        <v>1458</v>
      </c>
      <c r="C584" t="s">
        <v>913</v>
      </c>
      <c r="D584">
        <v>0.13</v>
      </c>
      <c r="E584">
        <v>1.93</v>
      </c>
      <c r="F584">
        <v>0.27</v>
      </c>
      <c r="G584">
        <v>7.82</v>
      </c>
      <c r="H584">
        <v>77.92</v>
      </c>
      <c r="I584">
        <v>0.96</v>
      </c>
      <c r="J584">
        <v>0</v>
      </c>
      <c r="K584" t="s">
        <v>344</v>
      </c>
      <c r="L584">
        <v>503</v>
      </c>
      <c r="M584">
        <v>422</v>
      </c>
      <c r="N584" s="1">
        <f t="shared" si="18"/>
        <v>0.16103379721669975</v>
      </c>
      <c r="O584" s="1">
        <f t="shared" si="19"/>
        <v>0.83896620278330025</v>
      </c>
    </row>
    <row r="585" spans="1:15" x14ac:dyDescent="0.25">
      <c r="A585" t="s">
        <v>1459</v>
      </c>
      <c r="B585" t="s">
        <v>1460</v>
      </c>
      <c r="D585">
        <v>0.12</v>
      </c>
      <c r="E585">
        <v>0</v>
      </c>
      <c r="F585">
        <v>0.24</v>
      </c>
      <c r="G585">
        <v>7.85</v>
      </c>
      <c r="H585">
        <v>80.47</v>
      </c>
      <c r="I585">
        <v>4.68</v>
      </c>
      <c r="J585">
        <v>3.05</v>
      </c>
      <c r="K585" t="s">
        <v>344</v>
      </c>
      <c r="L585">
        <v>503</v>
      </c>
      <c r="M585">
        <v>423</v>
      </c>
      <c r="N585" s="1">
        <f t="shared" si="18"/>
        <v>0.15904572564612329</v>
      </c>
      <c r="O585" s="1">
        <f t="shared" si="19"/>
        <v>0.84095427435387671</v>
      </c>
    </row>
    <row r="586" spans="1:15" x14ac:dyDescent="0.25">
      <c r="A586" t="s">
        <v>1461</v>
      </c>
      <c r="B586" t="s">
        <v>1462</v>
      </c>
      <c r="C586" t="s">
        <v>539</v>
      </c>
      <c r="D586">
        <v>0</v>
      </c>
      <c r="E586">
        <v>2.56</v>
      </c>
      <c r="F586">
        <v>0</v>
      </c>
      <c r="G586">
        <v>0</v>
      </c>
      <c r="H586">
        <v>0</v>
      </c>
      <c r="I586">
        <v>100</v>
      </c>
      <c r="J586">
        <v>0</v>
      </c>
      <c r="K586" t="s">
        <v>344</v>
      </c>
      <c r="L586">
        <v>503</v>
      </c>
      <c r="M586">
        <v>434</v>
      </c>
      <c r="N586" s="1">
        <f t="shared" si="18"/>
        <v>0.13717693836978129</v>
      </c>
      <c r="O586" s="1">
        <f t="shared" si="19"/>
        <v>0.86282306163021871</v>
      </c>
    </row>
    <row r="587" spans="1:15" x14ac:dyDescent="0.25">
      <c r="A587" t="s">
        <v>1463</v>
      </c>
      <c r="B587" t="s">
        <v>1464</v>
      </c>
      <c r="C587" t="s">
        <v>756</v>
      </c>
      <c r="D587">
        <v>0</v>
      </c>
      <c r="E587">
        <v>2.39</v>
      </c>
      <c r="F587">
        <v>0</v>
      </c>
      <c r="G587">
        <v>0</v>
      </c>
      <c r="H587">
        <v>0</v>
      </c>
      <c r="I587">
        <v>0</v>
      </c>
      <c r="J587">
        <v>0</v>
      </c>
      <c r="K587" t="s">
        <v>344</v>
      </c>
      <c r="L587">
        <v>503</v>
      </c>
      <c r="M587">
        <v>434</v>
      </c>
      <c r="N587" s="1">
        <f t="shared" si="18"/>
        <v>0.13717693836978129</v>
      </c>
      <c r="O587" s="1">
        <f t="shared" si="19"/>
        <v>0.86282306163021871</v>
      </c>
    </row>
    <row r="588" spans="1:15" x14ac:dyDescent="0.25">
      <c r="A588" t="s">
        <v>1465</v>
      </c>
      <c r="B588" t="s">
        <v>1466</v>
      </c>
      <c r="C588" t="s">
        <v>606</v>
      </c>
      <c r="D588">
        <v>0</v>
      </c>
      <c r="E588">
        <v>2.04</v>
      </c>
      <c r="F588">
        <v>0</v>
      </c>
      <c r="G588">
        <v>0</v>
      </c>
      <c r="H588">
        <v>0</v>
      </c>
      <c r="I588">
        <v>100</v>
      </c>
      <c r="J588">
        <v>0</v>
      </c>
      <c r="K588" t="s">
        <v>344</v>
      </c>
      <c r="L588">
        <v>503</v>
      </c>
      <c r="M588">
        <v>434</v>
      </c>
      <c r="N588" s="1">
        <f t="shared" si="18"/>
        <v>0.13717693836978129</v>
      </c>
      <c r="O588" s="1">
        <f t="shared" si="19"/>
        <v>0.86282306163021871</v>
      </c>
    </row>
    <row r="589" spans="1:15" x14ac:dyDescent="0.25">
      <c r="A589" t="s">
        <v>1467</v>
      </c>
      <c r="B589" t="s">
        <v>1468</v>
      </c>
      <c r="D589">
        <v>0</v>
      </c>
      <c r="E589">
        <v>0</v>
      </c>
      <c r="F589">
        <v>0</v>
      </c>
      <c r="G589">
        <v>0</v>
      </c>
      <c r="H589">
        <v>0</v>
      </c>
      <c r="I589">
        <v>100</v>
      </c>
      <c r="J589">
        <v>0</v>
      </c>
      <c r="K589" t="s">
        <v>344</v>
      </c>
      <c r="L589">
        <v>503</v>
      </c>
      <c r="M589">
        <v>434</v>
      </c>
      <c r="N589" s="1">
        <f t="shared" si="18"/>
        <v>0.13717693836978129</v>
      </c>
      <c r="O589" s="1">
        <f t="shared" si="19"/>
        <v>0.86282306163021871</v>
      </c>
    </row>
    <row r="590" spans="1:15" x14ac:dyDescent="0.25">
      <c r="A590" t="s">
        <v>1469</v>
      </c>
      <c r="B590" t="s">
        <v>1470</v>
      </c>
      <c r="C590" t="s">
        <v>539</v>
      </c>
      <c r="D590">
        <v>0</v>
      </c>
      <c r="E590">
        <v>2.56</v>
      </c>
      <c r="F590">
        <v>0</v>
      </c>
      <c r="G590">
        <v>0</v>
      </c>
      <c r="H590">
        <v>0</v>
      </c>
      <c r="I590">
        <v>100</v>
      </c>
      <c r="J590">
        <v>0</v>
      </c>
      <c r="K590" t="s">
        <v>344</v>
      </c>
      <c r="L590">
        <v>503</v>
      </c>
      <c r="M590">
        <v>434</v>
      </c>
      <c r="N590" s="1">
        <f t="shared" si="18"/>
        <v>0.13717693836978129</v>
      </c>
      <c r="O590" s="1">
        <f t="shared" si="19"/>
        <v>0.86282306163021871</v>
      </c>
    </row>
    <row r="591" spans="1:15" x14ac:dyDescent="0.25">
      <c r="A591" t="s">
        <v>1471</v>
      </c>
      <c r="B591" t="s">
        <v>1472</v>
      </c>
      <c r="C591" t="s">
        <v>539</v>
      </c>
      <c r="D591">
        <v>0</v>
      </c>
      <c r="E591">
        <v>2.56</v>
      </c>
      <c r="F591">
        <v>0</v>
      </c>
      <c r="G591">
        <v>0</v>
      </c>
      <c r="H591">
        <v>0</v>
      </c>
      <c r="I591">
        <v>0</v>
      </c>
      <c r="J591">
        <v>0</v>
      </c>
      <c r="K591" t="s">
        <v>344</v>
      </c>
      <c r="L591">
        <v>503</v>
      </c>
      <c r="M591">
        <v>434</v>
      </c>
      <c r="N591" s="1">
        <f t="shared" si="18"/>
        <v>0.13717693836978129</v>
      </c>
      <c r="O591" s="1">
        <f t="shared" si="19"/>
        <v>0.86282306163021871</v>
      </c>
    </row>
    <row r="592" spans="1:15" x14ac:dyDescent="0.25">
      <c r="A592" t="s">
        <v>1473</v>
      </c>
      <c r="B592" t="s">
        <v>1474</v>
      </c>
      <c r="C592" t="s">
        <v>539</v>
      </c>
      <c r="D592">
        <v>0</v>
      </c>
      <c r="E592">
        <v>2.56</v>
      </c>
      <c r="F592">
        <v>0</v>
      </c>
      <c r="G592">
        <v>0</v>
      </c>
      <c r="H592">
        <v>0</v>
      </c>
      <c r="I592">
        <v>100</v>
      </c>
      <c r="J592">
        <v>0</v>
      </c>
      <c r="K592" t="s">
        <v>344</v>
      </c>
      <c r="L592">
        <v>503</v>
      </c>
      <c r="M592">
        <v>434</v>
      </c>
      <c r="N592" s="1">
        <f t="shared" si="18"/>
        <v>0.13717693836978129</v>
      </c>
      <c r="O592" s="1">
        <f t="shared" si="19"/>
        <v>0.86282306163021871</v>
      </c>
    </row>
    <row r="593" spans="1:15" x14ac:dyDescent="0.25">
      <c r="A593" t="s">
        <v>1475</v>
      </c>
      <c r="B593" t="s">
        <v>1476</v>
      </c>
      <c r="C593" t="s">
        <v>400</v>
      </c>
      <c r="D593">
        <v>0</v>
      </c>
      <c r="E593">
        <v>2.04</v>
      </c>
      <c r="F593">
        <v>0</v>
      </c>
      <c r="G593">
        <v>0</v>
      </c>
      <c r="H593">
        <v>0</v>
      </c>
      <c r="I593">
        <v>100</v>
      </c>
      <c r="J593">
        <v>0</v>
      </c>
      <c r="K593" t="s">
        <v>344</v>
      </c>
      <c r="L593">
        <v>503</v>
      </c>
      <c r="M593">
        <v>434</v>
      </c>
      <c r="N593" s="1">
        <f t="shared" si="18"/>
        <v>0.13717693836978129</v>
      </c>
      <c r="O593" s="1">
        <f t="shared" si="19"/>
        <v>0.86282306163021871</v>
      </c>
    </row>
    <row r="594" spans="1:15" x14ac:dyDescent="0.25">
      <c r="A594" t="s">
        <v>1477</v>
      </c>
      <c r="B594" t="s">
        <v>1478</v>
      </c>
      <c r="C594" t="s">
        <v>539</v>
      </c>
      <c r="D594">
        <v>0</v>
      </c>
      <c r="E594">
        <v>2.5499999999999998</v>
      </c>
      <c r="F594">
        <v>0</v>
      </c>
      <c r="G594">
        <v>0</v>
      </c>
      <c r="H594">
        <v>0</v>
      </c>
      <c r="I594">
        <v>100</v>
      </c>
      <c r="J594">
        <v>0</v>
      </c>
      <c r="K594" t="s">
        <v>344</v>
      </c>
      <c r="L594">
        <v>503</v>
      </c>
      <c r="M594">
        <v>434</v>
      </c>
      <c r="N594" s="1">
        <f t="shared" si="18"/>
        <v>0.13717693836978129</v>
      </c>
      <c r="O594" s="1">
        <f t="shared" si="19"/>
        <v>0.86282306163021871</v>
      </c>
    </row>
    <row r="595" spans="1:15" x14ac:dyDescent="0.25">
      <c r="A595" t="s">
        <v>1479</v>
      </c>
      <c r="B595" t="s">
        <v>1480</v>
      </c>
      <c r="C595" t="s">
        <v>756</v>
      </c>
      <c r="D595">
        <v>0</v>
      </c>
      <c r="E595">
        <v>2.39</v>
      </c>
      <c r="F595">
        <v>0</v>
      </c>
      <c r="G595">
        <v>0</v>
      </c>
      <c r="H595">
        <v>0</v>
      </c>
      <c r="I595">
        <v>0</v>
      </c>
      <c r="J595">
        <v>0</v>
      </c>
      <c r="K595" t="s">
        <v>344</v>
      </c>
      <c r="L595">
        <v>503</v>
      </c>
      <c r="M595">
        <v>434</v>
      </c>
      <c r="N595" s="1">
        <f t="shared" si="18"/>
        <v>0.13717693836978129</v>
      </c>
      <c r="O595" s="1">
        <f t="shared" si="19"/>
        <v>0.86282306163021871</v>
      </c>
    </row>
    <row r="596" spans="1:15" x14ac:dyDescent="0.25">
      <c r="A596" t="s">
        <v>1481</v>
      </c>
      <c r="B596" t="s">
        <v>1482</v>
      </c>
      <c r="C596" t="s">
        <v>767</v>
      </c>
      <c r="D596">
        <v>0</v>
      </c>
      <c r="E596">
        <v>3.96</v>
      </c>
      <c r="F596">
        <v>0</v>
      </c>
      <c r="G596">
        <v>0</v>
      </c>
      <c r="H596">
        <v>0</v>
      </c>
      <c r="I596">
        <v>0</v>
      </c>
      <c r="J596">
        <v>0</v>
      </c>
      <c r="K596" t="s">
        <v>344</v>
      </c>
      <c r="L596">
        <v>503</v>
      </c>
      <c r="M596">
        <v>434</v>
      </c>
      <c r="N596" s="1">
        <f t="shared" si="18"/>
        <v>0.13717693836978129</v>
      </c>
      <c r="O596" s="1">
        <f t="shared" si="19"/>
        <v>0.86282306163021871</v>
      </c>
    </row>
    <row r="597" spans="1:15" x14ac:dyDescent="0.25">
      <c r="A597" t="s">
        <v>1483</v>
      </c>
      <c r="B597" t="s">
        <v>1484</v>
      </c>
      <c r="C597" t="s">
        <v>756</v>
      </c>
      <c r="D597">
        <v>0</v>
      </c>
      <c r="E597">
        <v>2.39</v>
      </c>
      <c r="F597">
        <v>0</v>
      </c>
      <c r="G597">
        <v>0</v>
      </c>
      <c r="H597">
        <v>0</v>
      </c>
      <c r="I597">
        <v>0</v>
      </c>
      <c r="J597">
        <v>0</v>
      </c>
      <c r="K597" t="s">
        <v>344</v>
      </c>
      <c r="L597">
        <v>503</v>
      </c>
      <c r="M597">
        <v>434</v>
      </c>
      <c r="N597" s="1">
        <f t="shared" si="18"/>
        <v>0.13717693836978129</v>
      </c>
      <c r="O597" s="1">
        <f t="shared" si="19"/>
        <v>0.86282306163021871</v>
      </c>
    </row>
    <row r="598" spans="1:15" x14ac:dyDescent="0.25">
      <c r="A598" t="s">
        <v>1485</v>
      </c>
      <c r="B598" t="s">
        <v>1486</v>
      </c>
      <c r="C598" t="s">
        <v>539</v>
      </c>
      <c r="D598">
        <v>0</v>
      </c>
      <c r="E598">
        <v>2.56</v>
      </c>
      <c r="F598">
        <v>0</v>
      </c>
      <c r="G598">
        <v>0</v>
      </c>
      <c r="H598">
        <v>0</v>
      </c>
      <c r="I598">
        <v>0</v>
      </c>
      <c r="J598">
        <v>0</v>
      </c>
      <c r="K598" t="s">
        <v>344</v>
      </c>
      <c r="L598">
        <v>503</v>
      </c>
      <c r="M598">
        <v>434</v>
      </c>
      <c r="N598" s="1">
        <f t="shared" si="18"/>
        <v>0.13717693836978129</v>
      </c>
      <c r="O598" s="1">
        <f t="shared" si="19"/>
        <v>0.86282306163021871</v>
      </c>
    </row>
    <row r="599" spans="1:15" x14ac:dyDescent="0.25">
      <c r="A599" t="s">
        <v>1487</v>
      </c>
      <c r="B599" t="s">
        <v>1488</v>
      </c>
      <c r="C599" t="s">
        <v>503</v>
      </c>
      <c r="D599">
        <v>0</v>
      </c>
      <c r="E599">
        <v>3.83</v>
      </c>
      <c r="F599">
        <v>0</v>
      </c>
      <c r="G599">
        <v>0</v>
      </c>
      <c r="H599">
        <v>0</v>
      </c>
      <c r="I599">
        <v>105</v>
      </c>
      <c r="J599">
        <v>0</v>
      </c>
      <c r="K599" t="s">
        <v>344</v>
      </c>
      <c r="L599">
        <v>503</v>
      </c>
      <c r="M599">
        <v>434</v>
      </c>
      <c r="N599" s="1">
        <f t="shared" si="18"/>
        <v>0.13717693836978129</v>
      </c>
      <c r="O599" s="1">
        <f t="shared" si="19"/>
        <v>0.86282306163021871</v>
      </c>
    </row>
    <row r="600" spans="1:15" x14ac:dyDescent="0.25">
      <c r="A600" t="s">
        <v>1489</v>
      </c>
      <c r="B600" t="s">
        <v>1490</v>
      </c>
      <c r="D600">
        <v>0</v>
      </c>
      <c r="E600">
        <v>0</v>
      </c>
      <c r="F600">
        <v>0</v>
      </c>
      <c r="G600">
        <v>0</v>
      </c>
      <c r="H600">
        <v>0</v>
      </c>
      <c r="I600">
        <v>100</v>
      </c>
      <c r="J600">
        <v>0</v>
      </c>
      <c r="K600" t="s">
        <v>344</v>
      </c>
      <c r="L600">
        <v>503</v>
      </c>
      <c r="M600">
        <v>434</v>
      </c>
      <c r="N600" s="1">
        <f t="shared" si="18"/>
        <v>0.13717693836978129</v>
      </c>
      <c r="O600" s="1">
        <f t="shared" si="19"/>
        <v>0.86282306163021871</v>
      </c>
    </row>
    <row r="601" spans="1:15" x14ac:dyDescent="0.25">
      <c r="A601" t="s">
        <v>1491</v>
      </c>
      <c r="B601" t="s">
        <v>1492</v>
      </c>
      <c r="C601" t="s">
        <v>1010</v>
      </c>
      <c r="D601">
        <v>0</v>
      </c>
      <c r="E601">
        <v>2.92</v>
      </c>
      <c r="F601">
        <v>0</v>
      </c>
      <c r="G601">
        <v>0</v>
      </c>
      <c r="H601">
        <v>0</v>
      </c>
      <c r="I601">
        <v>105</v>
      </c>
      <c r="J601">
        <v>0</v>
      </c>
      <c r="K601" t="s">
        <v>344</v>
      </c>
      <c r="L601">
        <v>503</v>
      </c>
      <c r="M601">
        <v>434</v>
      </c>
      <c r="N601" s="1">
        <f t="shared" si="18"/>
        <v>0.13717693836978129</v>
      </c>
      <c r="O601" s="1">
        <f t="shared" si="19"/>
        <v>0.86282306163021871</v>
      </c>
    </row>
    <row r="602" spans="1:15" x14ac:dyDescent="0.25">
      <c r="A602" t="s">
        <v>1493</v>
      </c>
      <c r="B602" t="s">
        <v>1494</v>
      </c>
      <c r="C602" t="s">
        <v>539</v>
      </c>
      <c r="D602">
        <v>0</v>
      </c>
      <c r="E602">
        <v>2.56</v>
      </c>
      <c r="F602">
        <v>0</v>
      </c>
      <c r="G602">
        <v>0</v>
      </c>
      <c r="H602">
        <v>0</v>
      </c>
      <c r="I602">
        <v>100</v>
      </c>
      <c r="J602">
        <v>0</v>
      </c>
      <c r="K602" t="s">
        <v>344</v>
      </c>
      <c r="L602">
        <v>503</v>
      </c>
      <c r="M602">
        <v>434</v>
      </c>
      <c r="N602" s="1">
        <f t="shared" si="18"/>
        <v>0.13717693836978129</v>
      </c>
      <c r="O602" s="1">
        <f t="shared" si="19"/>
        <v>0.86282306163021871</v>
      </c>
    </row>
    <row r="603" spans="1:15" x14ac:dyDescent="0.25">
      <c r="A603" t="s">
        <v>1495</v>
      </c>
      <c r="B603" t="s">
        <v>1496</v>
      </c>
      <c r="C603" t="s">
        <v>767</v>
      </c>
      <c r="D603">
        <v>0</v>
      </c>
      <c r="E603">
        <v>3.96</v>
      </c>
      <c r="F603">
        <v>0</v>
      </c>
      <c r="G603">
        <v>0</v>
      </c>
      <c r="H603">
        <v>0</v>
      </c>
      <c r="I603">
        <v>100</v>
      </c>
      <c r="J603">
        <v>0</v>
      </c>
      <c r="K603" t="s">
        <v>344</v>
      </c>
      <c r="L603">
        <v>503</v>
      </c>
      <c r="M603">
        <v>434</v>
      </c>
      <c r="N603" s="1">
        <f t="shared" si="18"/>
        <v>0.13717693836978129</v>
      </c>
      <c r="O603" s="1">
        <f t="shared" si="19"/>
        <v>0.86282306163021871</v>
      </c>
    </row>
    <row r="604" spans="1:15" x14ac:dyDescent="0.25">
      <c r="A604" t="s">
        <v>1497</v>
      </c>
      <c r="B604" t="s">
        <v>1498</v>
      </c>
      <c r="C604" t="s">
        <v>767</v>
      </c>
      <c r="D604">
        <v>0</v>
      </c>
      <c r="E604">
        <v>3.96</v>
      </c>
      <c r="F604">
        <v>0</v>
      </c>
      <c r="G604">
        <v>0</v>
      </c>
      <c r="H604">
        <v>0</v>
      </c>
      <c r="I604">
        <v>0</v>
      </c>
      <c r="J604">
        <v>0</v>
      </c>
      <c r="K604" t="s">
        <v>344</v>
      </c>
      <c r="L604">
        <v>503</v>
      </c>
      <c r="M604">
        <v>434</v>
      </c>
      <c r="N604" s="1">
        <f t="shared" si="18"/>
        <v>0.13717693836978129</v>
      </c>
      <c r="O604" s="1">
        <f t="shared" si="19"/>
        <v>0.86282306163021871</v>
      </c>
    </row>
    <row r="605" spans="1:15" x14ac:dyDescent="0.25">
      <c r="A605" t="s">
        <v>1499</v>
      </c>
      <c r="B605" t="s">
        <v>1500</v>
      </c>
      <c r="C605" t="s">
        <v>756</v>
      </c>
      <c r="D605">
        <v>0</v>
      </c>
      <c r="E605">
        <v>2.39</v>
      </c>
      <c r="F605">
        <v>0</v>
      </c>
      <c r="G605">
        <v>0</v>
      </c>
      <c r="H605">
        <v>0</v>
      </c>
      <c r="I605">
        <v>0</v>
      </c>
      <c r="J605">
        <v>0</v>
      </c>
      <c r="K605" t="s">
        <v>344</v>
      </c>
      <c r="L605">
        <v>503</v>
      </c>
      <c r="M605">
        <v>434</v>
      </c>
      <c r="N605" s="1">
        <f t="shared" si="18"/>
        <v>0.13717693836978129</v>
      </c>
      <c r="O605" s="1">
        <f t="shared" si="19"/>
        <v>0.86282306163021871</v>
      </c>
    </row>
    <row r="606" spans="1:15" x14ac:dyDescent="0.25">
      <c r="A606" t="s">
        <v>1501</v>
      </c>
      <c r="B606" t="s">
        <v>1502</v>
      </c>
      <c r="C606" t="s">
        <v>448</v>
      </c>
      <c r="D606">
        <v>0</v>
      </c>
      <c r="E606">
        <v>1.36</v>
      </c>
      <c r="F606">
        <v>0</v>
      </c>
      <c r="G606">
        <v>0</v>
      </c>
      <c r="H606">
        <v>0</v>
      </c>
      <c r="I606">
        <v>0</v>
      </c>
      <c r="J606">
        <v>0</v>
      </c>
      <c r="K606" t="s">
        <v>344</v>
      </c>
      <c r="L606">
        <v>503</v>
      </c>
      <c r="M606">
        <v>434</v>
      </c>
      <c r="N606" s="1">
        <f t="shared" si="18"/>
        <v>0.13717693836978129</v>
      </c>
      <c r="O606" s="1">
        <f t="shared" si="19"/>
        <v>0.86282306163021871</v>
      </c>
    </row>
    <row r="607" spans="1:15" x14ac:dyDescent="0.25">
      <c r="A607" t="s">
        <v>1503</v>
      </c>
      <c r="B607" t="s">
        <v>1504</v>
      </c>
      <c r="C607" t="s">
        <v>539</v>
      </c>
      <c r="D607">
        <v>0</v>
      </c>
      <c r="E607">
        <v>2.56</v>
      </c>
      <c r="F607">
        <v>0</v>
      </c>
      <c r="G607">
        <v>0</v>
      </c>
      <c r="H607">
        <v>0</v>
      </c>
      <c r="I607">
        <v>100</v>
      </c>
      <c r="J607">
        <v>0</v>
      </c>
      <c r="K607" t="s">
        <v>344</v>
      </c>
      <c r="L607">
        <v>503</v>
      </c>
      <c r="M607">
        <v>434</v>
      </c>
      <c r="N607" s="1">
        <f t="shared" si="18"/>
        <v>0.13717693836978129</v>
      </c>
      <c r="O607" s="1">
        <f t="shared" si="19"/>
        <v>0.86282306163021871</v>
      </c>
    </row>
    <row r="608" spans="1:15" x14ac:dyDescent="0.25">
      <c r="A608" t="s">
        <v>1505</v>
      </c>
      <c r="B608" t="s">
        <v>1506</v>
      </c>
      <c r="C608" t="s">
        <v>539</v>
      </c>
      <c r="D608">
        <v>0</v>
      </c>
      <c r="E608">
        <v>2.5499999999999998</v>
      </c>
      <c r="F608">
        <v>0</v>
      </c>
      <c r="G608">
        <v>0</v>
      </c>
      <c r="H608">
        <v>0</v>
      </c>
      <c r="I608">
        <v>0</v>
      </c>
      <c r="J608">
        <v>0</v>
      </c>
      <c r="K608" t="s">
        <v>344</v>
      </c>
      <c r="L608">
        <v>503</v>
      </c>
      <c r="M608">
        <v>434</v>
      </c>
      <c r="N608" s="1">
        <f t="shared" si="18"/>
        <v>0.13717693836978129</v>
      </c>
      <c r="O608" s="1">
        <f t="shared" si="19"/>
        <v>0.86282306163021871</v>
      </c>
    </row>
    <row r="609" spans="1:15" x14ac:dyDescent="0.25">
      <c r="A609" t="s">
        <v>1507</v>
      </c>
      <c r="B609" t="s">
        <v>1508</v>
      </c>
      <c r="C609" t="s">
        <v>503</v>
      </c>
      <c r="D609">
        <v>0</v>
      </c>
      <c r="E609">
        <v>3.83</v>
      </c>
      <c r="F609">
        <v>0</v>
      </c>
      <c r="G609">
        <v>0</v>
      </c>
      <c r="H609">
        <v>0</v>
      </c>
      <c r="I609">
        <v>105</v>
      </c>
      <c r="J609">
        <v>0</v>
      </c>
      <c r="K609" t="s">
        <v>344</v>
      </c>
      <c r="L609">
        <v>503</v>
      </c>
      <c r="M609">
        <v>434</v>
      </c>
      <c r="N609" s="1">
        <f t="shared" si="18"/>
        <v>0.13717693836978129</v>
      </c>
      <c r="O609" s="1">
        <f t="shared" si="19"/>
        <v>0.86282306163021871</v>
      </c>
    </row>
    <row r="610" spans="1:15" x14ac:dyDescent="0.25">
      <c r="A610" t="s">
        <v>1509</v>
      </c>
      <c r="B610" t="s">
        <v>1510</v>
      </c>
      <c r="C610" t="s">
        <v>368</v>
      </c>
      <c r="D610">
        <v>0</v>
      </c>
      <c r="E610">
        <v>2.71</v>
      </c>
      <c r="F610">
        <v>0</v>
      </c>
      <c r="G610">
        <v>0</v>
      </c>
      <c r="H610">
        <v>0</v>
      </c>
      <c r="I610">
        <v>100</v>
      </c>
      <c r="J610">
        <v>0</v>
      </c>
      <c r="K610" t="s">
        <v>344</v>
      </c>
      <c r="L610">
        <v>503</v>
      </c>
      <c r="M610">
        <v>434</v>
      </c>
      <c r="N610" s="1">
        <f t="shared" si="18"/>
        <v>0.13717693836978129</v>
      </c>
      <c r="O610" s="1">
        <f t="shared" si="19"/>
        <v>0.86282306163021871</v>
      </c>
    </row>
    <row r="611" spans="1:15" x14ac:dyDescent="0.25">
      <c r="A611" t="s">
        <v>1511</v>
      </c>
      <c r="B611" t="s">
        <v>1512</v>
      </c>
      <c r="C611" t="s">
        <v>368</v>
      </c>
      <c r="D611">
        <v>0</v>
      </c>
      <c r="E611">
        <v>2.7</v>
      </c>
      <c r="F611">
        <v>0</v>
      </c>
      <c r="G611">
        <v>0</v>
      </c>
      <c r="H611">
        <v>0</v>
      </c>
      <c r="I611">
        <v>100</v>
      </c>
      <c r="J611">
        <v>0</v>
      </c>
      <c r="K611" t="s">
        <v>344</v>
      </c>
      <c r="L611">
        <v>503</v>
      </c>
      <c r="M611">
        <v>434</v>
      </c>
      <c r="N611" s="1">
        <f t="shared" si="18"/>
        <v>0.13717693836978129</v>
      </c>
      <c r="O611" s="1">
        <f t="shared" si="19"/>
        <v>0.86282306163021871</v>
      </c>
    </row>
    <row r="612" spans="1:15" x14ac:dyDescent="0.25">
      <c r="A612" t="s">
        <v>1513</v>
      </c>
      <c r="B612" t="s">
        <v>1514</v>
      </c>
      <c r="C612" t="s">
        <v>1515</v>
      </c>
      <c r="D612">
        <v>0</v>
      </c>
      <c r="E612">
        <v>0</v>
      </c>
      <c r="F612">
        <v>0</v>
      </c>
      <c r="G612">
        <v>0</v>
      </c>
      <c r="H612">
        <v>0</v>
      </c>
      <c r="I612">
        <v>100</v>
      </c>
      <c r="J612">
        <v>0</v>
      </c>
      <c r="K612" t="s">
        <v>344</v>
      </c>
      <c r="L612">
        <v>503</v>
      </c>
      <c r="M612">
        <v>434</v>
      </c>
      <c r="N612" s="1">
        <f t="shared" si="18"/>
        <v>0.13717693836978129</v>
      </c>
      <c r="O612" s="1">
        <f t="shared" si="19"/>
        <v>0.86282306163021871</v>
      </c>
    </row>
    <row r="613" spans="1:15" x14ac:dyDescent="0.25">
      <c r="A613" t="s">
        <v>1516</v>
      </c>
      <c r="B613" t="s">
        <v>1517</v>
      </c>
      <c r="D613">
        <v>0</v>
      </c>
      <c r="E613">
        <v>0</v>
      </c>
      <c r="F613">
        <v>0</v>
      </c>
      <c r="G613">
        <v>0</v>
      </c>
      <c r="H613">
        <v>0</v>
      </c>
      <c r="I613">
        <v>0</v>
      </c>
      <c r="J613">
        <v>0</v>
      </c>
      <c r="K613" t="s">
        <v>344</v>
      </c>
      <c r="L613">
        <v>503</v>
      </c>
      <c r="M613">
        <v>434</v>
      </c>
      <c r="N613" s="1">
        <f t="shared" si="18"/>
        <v>0.13717693836978129</v>
      </c>
      <c r="O613" s="1">
        <f t="shared" si="19"/>
        <v>0.86282306163021871</v>
      </c>
    </row>
    <row r="614" spans="1:15" x14ac:dyDescent="0.25">
      <c r="A614" t="s">
        <v>1518</v>
      </c>
      <c r="B614" t="s">
        <v>1519</v>
      </c>
      <c r="C614" t="s">
        <v>1315</v>
      </c>
      <c r="D614">
        <v>0</v>
      </c>
      <c r="E614">
        <v>2.91</v>
      </c>
      <c r="F614">
        <v>0</v>
      </c>
      <c r="G614">
        <v>0</v>
      </c>
      <c r="H614">
        <v>0</v>
      </c>
      <c r="I614">
        <v>100</v>
      </c>
      <c r="J614">
        <v>0</v>
      </c>
      <c r="K614" t="s">
        <v>344</v>
      </c>
      <c r="L614">
        <v>503</v>
      </c>
      <c r="M614">
        <v>434</v>
      </c>
      <c r="N614" s="1">
        <f t="shared" si="18"/>
        <v>0.13717693836978129</v>
      </c>
      <c r="O614" s="1">
        <f t="shared" si="19"/>
        <v>0.86282306163021871</v>
      </c>
    </row>
    <row r="615" spans="1:15" x14ac:dyDescent="0.25">
      <c r="A615" t="s">
        <v>1520</v>
      </c>
      <c r="B615" t="s">
        <v>1521</v>
      </c>
      <c r="C615" t="s">
        <v>539</v>
      </c>
      <c r="D615">
        <v>0</v>
      </c>
      <c r="E615">
        <v>2.56</v>
      </c>
      <c r="F615">
        <v>0</v>
      </c>
      <c r="G615">
        <v>0</v>
      </c>
      <c r="H615">
        <v>0</v>
      </c>
      <c r="I615">
        <v>0</v>
      </c>
      <c r="J615">
        <v>0</v>
      </c>
      <c r="K615" t="s">
        <v>344</v>
      </c>
      <c r="L615">
        <v>503</v>
      </c>
      <c r="M615">
        <v>434</v>
      </c>
      <c r="N615" s="1">
        <f t="shared" si="18"/>
        <v>0.13717693836978129</v>
      </c>
      <c r="O615" s="1">
        <f t="shared" si="19"/>
        <v>0.86282306163021871</v>
      </c>
    </row>
    <row r="616" spans="1:15" x14ac:dyDescent="0.25">
      <c r="A616" t="s">
        <v>1522</v>
      </c>
      <c r="B616" t="s">
        <v>1523</v>
      </c>
      <c r="C616" t="s">
        <v>368</v>
      </c>
      <c r="D616">
        <v>0</v>
      </c>
      <c r="E616">
        <v>2.71</v>
      </c>
      <c r="F616">
        <v>0</v>
      </c>
      <c r="G616">
        <v>0</v>
      </c>
      <c r="H616">
        <v>0</v>
      </c>
      <c r="I616">
        <v>100</v>
      </c>
      <c r="J616">
        <v>0</v>
      </c>
      <c r="K616" t="s">
        <v>344</v>
      </c>
      <c r="L616">
        <v>503</v>
      </c>
      <c r="M616">
        <v>434</v>
      </c>
      <c r="N616" s="1">
        <f t="shared" si="18"/>
        <v>0.13717693836978129</v>
      </c>
      <c r="O616" s="1">
        <f t="shared" si="19"/>
        <v>0.86282306163021871</v>
      </c>
    </row>
    <row r="617" spans="1:15" x14ac:dyDescent="0.25">
      <c r="A617" t="s">
        <v>1524</v>
      </c>
      <c r="B617" t="s">
        <v>1525</v>
      </c>
      <c r="D617">
        <v>0</v>
      </c>
      <c r="E617">
        <v>0</v>
      </c>
      <c r="F617">
        <v>0</v>
      </c>
      <c r="G617">
        <v>0</v>
      </c>
      <c r="H617">
        <v>0</v>
      </c>
      <c r="I617">
        <v>100</v>
      </c>
      <c r="J617">
        <v>0</v>
      </c>
      <c r="K617" t="s">
        <v>344</v>
      </c>
      <c r="L617">
        <v>503</v>
      </c>
      <c r="M617">
        <v>434</v>
      </c>
      <c r="N617" s="1">
        <f t="shared" si="18"/>
        <v>0.13717693836978129</v>
      </c>
      <c r="O617" s="1">
        <f t="shared" si="19"/>
        <v>0.86282306163021871</v>
      </c>
    </row>
    <row r="618" spans="1:15" x14ac:dyDescent="0.25">
      <c r="A618" t="s">
        <v>1526</v>
      </c>
      <c r="B618" t="s">
        <v>1527</v>
      </c>
      <c r="C618" t="s">
        <v>503</v>
      </c>
      <c r="D618">
        <v>0</v>
      </c>
      <c r="E618">
        <v>3.82</v>
      </c>
      <c r="F618">
        <v>0</v>
      </c>
      <c r="G618">
        <v>0</v>
      </c>
      <c r="H618">
        <v>0</v>
      </c>
      <c r="I618">
        <v>105</v>
      </c>
      <c r="J618">
        <v>0</v>
      </c>
      <c r="K618" t="s">
        <v>344</v>
      </c>
      <c r="L618">
        <v>503</v>
      </c>
      <c r="M618">
        <v>434</v>
      </c>
      <c r="N618" s="1">
        <f t="shared" si="18"/>
        <v>0.13717693836978129</v>
      </c>
      <c r="O618" s="1">
        <f t="shared" si="19"/>
        <v>0.86282306163021871</v>
      </c>
    </row>
    <row r="619" spans="1:15" x14ac:dyDescent="0.25">
      <c r="A619" t="s">
        <v>1528</v>
      </c>
      <c r="B619" t="s">
        <v>1529</v>
      </c>
      <c r="C619" t="s">
        <v>539</v>
      </c>
      <c r="D619">
        <v>0</v>
      </c>
      <c r="E619">
        <v>2.56</v>
      </c>
      <c r="F619">
        <v>0</v>
      </c>
      <c r="G619">
        <v>0</v>
      </c>
      <c r="H619">
        <v>0</v>
      </c>
      <c r="I619">
        <v>0</v>
      </c>
      <c r="J619">
        <v>0</v>
      </c>
      <c r="K619" t="s">
        <v>344</v>
      </c>
      <c r="L619">
        <v>503</v>
      </c>
      <c r="M619">
        <v>434</v>
      </c>
      <c r="N619" s="1">
        <f t="shared" si="18"/>
        <v>0.13717693836978129</v>
      </c>
      <c r="O619" s="1">
        <f t="shared" si="19"/>
        <v>0.86282306163021871</v>
      </c>
    </row>
    <row r="620" spans="1:15" x14ac:dyDescent="0.25">
      <c r="A620" t="s">
        <v>1530</v>
      </c>
      <c r="B620" t="s">
        <v>1531</v>
      </c>
      <c r="C620" t="s">
        <v>539</v>
      </c>
      <c r="D620">
        <v>0</v>
      </c>
      <c r="E620">
        <v>2.56</v>
      </c>
      <c r="F620">
        <v>0</v>
      </c>
      <c r="G620">
        <v>0</v>
      </c>
      <c r="H620">
        <v>0</v>
      </c>
      <c r="I620">
        <v>0</v>
      </c>
      <c r="J620">
        <v>0</v>
      </c>
      <c r="K620" t="s">
        <v>344</v>
      </c>
      <c r="L620">
        <v>503</v>
      </c>
      <c r="M620">
        <v>434</v>
      </c>
      <c r="N620" s="1">
        <f t="shared" si="18"/>
        <v>0.13717693836978129</v>
      </c>
      <c r="O620" s="1">
        <f t="shared" si="19"/>
        <v>0.86282306163021871</v>
      </c>
    </row>
    <row r="621" spans="1:15" x14ac:dyDescent="0.25">
      <c r="A621" t="s">
        <v>1532</v>
      </c>
      <c r="B621" t="s">
        <v>1533</v>
      </c>
      <c r="C621" t="s">
        <v>368</v>
      </c>
      <c r="D621">
        <v>0</v>
      </c>
      <c r="E621">
        <v>2.7</v>
      </c>
      <c r="F621">
        <v>0</v>
      </c>
      <c r="G621">
        <v>0</v>
      </c>
      <c r="H621">
        <v>0</v>
      </c>
      <c r="I621">
        <v>100</v>
      </c>
      <c r="J621">
        <v>0</v>
      </c>
      <c r="K621" t="s">
        <v>344</v>
      </c>
      <c r="L621">
        <v>503</v>
      </c>
      <c r="M621">
        <v>434</v>
      </c>
      <c r="N621" s="1">
        <f t="shared" si="18"/>
        <v>0.13717693836978129</v>
      </c>
      <c r="O621" s="1">
        <f t="shared" si="19"/>
        <v>0.86282306163021871</v>
      </c>
    </row>
    <row r="622" spans="1:15" x14ac:dyDescent="0.25">
      <c r="A622" t="s">
        <v>1534</v>
      </c>
      <c r="B622" t="s">
        <v>1535</v>
      </c>
      <c r="C622" t="s">
        <v>539</v>
      </c>
      <c r="D622">
        <v>0</v>
      </c>
      <c r="E622">
        <v>2.56</v>
      </c>
      <c r="F622">
        <v>0</v>
      </c>
      <c r="G622">
        <v>0</v>
      </c>
      <c r="H622">
        <v>0</v>
      </c>
      <c r="I622">
        <v>100</v>
      </c>
      <c r="J622">
        <v>0</v>
      </c>
      <c r="K622" t="s">
        <v>344</v>
      </c>
      <c r="L622">
        <v>503</v>
      </c>
      <c r="M622">
        <v>434</v>
      </c>
      <c r="N622" s="1">
        <f t="shared" si="18"/>
        <v>0.13717693836978129</v>
      </c>
      <c r="O622" s="1">
        <f t="shared" si="19"/>
        <v>0.86282306163021871</v>
      </c>
    </row>
    <row r="623" spans="1:15" x14ac:dyDescent="0.25">
      <c r="A623" t="s">
        <v>1536</v>
      </c>
      <c r="B623" t="s">
        <v>1537</v>
      </c>
      <c r="C623" t="s">
        <v>400</v>
      </c>
      <c r="D623">
        <v>0</v>
      </c>
      <c r="E623">
        <v>2.0499999999999998</v>
      </c>
      <c r="F623">
        <v>0</v>
      </c>
      <c r="G623">
        <v>0</v>
      </c>
      <c r="H623">
        <v>0</v>
      </c>
      <c r="I623">
        <v>100</v>
      </c>
      <c r="J623">
        <v>0</v>
      </c>
      <c r="K623" t="s">
        <v>344</v>
      </c>
      <c r="L623">
        <v>503</v>
      </c>
      <c r="M623">
        <v>434</v>
      </c>
      <c r="N623" s="1">
        <f t="shared" si="18"/>
        <v>0.13717693836978129</v>
      </c>
      <c r="O623" s="1">
        <f t="shared" si="19"/>
        <v>0.86282306163021871</v>
      </c>
    </row>
    <row r="624" spans="1:15" x14ac:dyDescent="0.25">
      <c r="A624" t="s">
        <v>1538</v>
      </c>
      <c r="B624" t="s">
        <v>1539</v>
      </c>
      <c r="C624" t="s">
        <v>756</v>
      </c>
      <c r="D624">
        <v>0</v>
      </c>
      <c r="E624">
        <v>2.4</v>
      </c>
      <c r="F624">
        <v>0</v>
      </c>
      <c r="G624">
        <v>0</v>
      </c>
      <c r="H624">
        <v>0</v>
      </c>
      <c r="I624">
        <v>0</v>
      </c>
      <c r="J624">
        <v>0</v>
      </c>
      <c r="K624" t="s">
        <v>344</v>
      </c>
      <c r="L624">
        <v>503</v>
      </c>
      <c r="M624">
        <v>434</v>
      </c>
      <c r="N624" s="1">
        <f t="shared" si="18"/>
        <v>0.13717693836978129</v>
      </c>
      <c r="O624" s="1">
        <f t="shared" si="19"/>
        <v>0.86282306163021871</v>
      </c>
    </row>
    <row r="625" spans="1:15" x14ac:dyDescent="0.25">
      <c r="A625" t="s">
        <v>1540</v>
      </c>
      <c r="B625" t="s">
        <v>1541</v>
      </c>
      <c r="C625" t="s">
        <v>539</v>
      </c>
      <c r="D625">
        <v>0</v>
      </c>
      <c r="E625">
        <v>2.56</v>
      </c>
      <c r="F625">
        <v>0</v>
      </c>
      <c r="G625">
        <v>0</v>
      </c>
      <c r="H625">
        <v>0</v>
      </c>
      <c r="I625">
        <v>100</v>
      </c>
      <c r="J625">
        <v>0</v>
      </c>
      <c r="K625" t="s">
        <v>344</v>
      </c>
      <c r="L625">
        <v>503</v>
      </c>
      <c r="M625">
        <v>434</v>
      </c>
      <c r="N625" s="1">
        <f t="shared" si="18"/>
        <v>0.13717693836978129</v>
      </c>
      <c r="O625" s="1">
        <f t="shared" si="19"/>
        <v>0.86282306163021871</v>
      </c>
    </row>
    <row r="626" spans="1:15" x14ac:dyDescent="0.25">
      <c r="A626" t="s">
        <v>1542</v>
      </c>
      <c r="B626" t="s">
        <v>1543</v>
      </c>
      <c r="C626" t="s">
        <v>606</v>
      </c>
      <c r="D626">
        <v>0</v>
      </c>
      <c r="E626">
        <v>2.0299999999999998</v>
      </c>
      <c r="F626">
        <v>0</v>
      </c>
      <c r="G626">
        <v>0</v>
      </c>
      <c r="H626">
        <v>0</v>
      </c>
      <c r="I626">
        <v>100</v>
      </c>
      <c r="J626">
        <v>0</v>
      </c>
      <c r="K626" t="s">
        <v>344</v>
      </c>
      <c r="L626">
        <v>503</v>
      </c>
      <c r="M626">
        <v>434</v>
      </c>
      <c r="N626" s="1">
        <f t="shared" si="18"/>
        <v>0.13717693836978129</v>
      </c>
      <c r="O626" s="1">
        <f t="shared" si="19"/>
        <v>0.86282306163021871</v>
      </c>
    </row>
    <row r="627" spans="1:15" x14ac:dyDescent="0.25">
      <c r="A627" t="s">
        <v>1544</v>
      </c>
      <c r="B627" t="s">
        <v>1545</v>
      </c>
      <c r="C627" t="s">
        <v>539</v>
      </c>
      <c r="D627">
        <v>0</v>
      </c>
      <c r="E627">
        <v>2.56</v>
      </c>
      <c r="F627">
        <v>0</v>
      </c>
      <c r="G627">
        <v>0</v>
      </c>
      <c r="H627">
        <v>0</v>
      </c>
      <c r="I627">
        <v>100</v>
      </c>
      <c r="J627">
        <v>0</v>
      </c>
      <c r="K627" t="s">
        <v>344</v>
      </c>
      <c r="L627">
        <v>503</v>
      </c>
      <c r="M627">
        <v>434</v>
      </c>
      <c r="N627" s="1">
        <f t="shared" si="18"/>
        <v>0.13717693836978129</v>
      </c>
      <c r="O627" s="1">
        <f t="shared" si="19"/>
        <v>0.86282306163021871</v>
      </c>
    </row>
    <row r="628" spans="1:15" x14ac:dyDescent="0.25">
      <c r="A628" t="s">
        <v>1546</v>
      </c>
      <c r="B628" t="s">
        <v>1547</v>
      </c>
      <c r="C628" t="s">
        <v>368</v>
      </c>
      <c r="D628">
        <v>0</v>
      </c>
      <c r="E628">
        <v>2.71</v>
      </c>
      <c r="F628">
        <v>0</v>
      </c>
      <c r="G628">
        <v>0</v>
      </c>
      <c r="H628">
        <v>0</v>
      </c>
      <c r="I628">
        <v>100</v>
      </c>
      <c r="J628">
        <v>0</v>
      </c>
      <c r="K628" t="s">
        <v>344</v>
      </c>
      <c r="L628">
        <v>503</v>
      </c>
      <c r="M628">
        <v>434</v>
      </c>
      <c r="N628" s="1">
        <f t="shared" si="18"/>
        <v>0.13717693836978129</v>
      </c>
      <c r="O628" s="1">
        <f t="shared" si="19"/>
        <v>0.86282306163021871</v>
      </c>
    </row>
    <row r="629" spans="1:15" x14ac:dyDescent="0.25">
      <c r="A629" t="s">
        <v>1548</v>
      </c>
      <c r="B629" t="s">
        <v>1549</v>
      </c>
      <c r="C629" t="s">
        <v>606</v>
      </c>
      <c r="D629">
        <v>0</v>
      </c>
      <c r="E629">
        <v>2.0299999999999998</v>
      </c>
      <c r="F629">
        <v>0</v>
      </c>
      <c r="G629">
        <v>0</v>
      </c>
      <c r="H629">
        <v>0</v>
      </c>
      <c r="I629">
        <v>100</v>
      </c>
      <c r="J629">
        <v>0</v>
      </c>
      <c r="K629" t="s">
        <v>344</v>
      </c>
      <c r="L629">
        <v>503</v>
      </c>
      <c r="M629">
        <v>434</v>
      </c>
      <c r="N629" s="1">
        <f t="shared" si="18"/>
        <v>0.13717693836978129</v>
      </c>
      <c r="O629" s="1">
        <f t="shared" si="19"/>
        <v>0.86282306163021871</v>
      </c>
    </row>
    <row r="630" spans="1:15" x14ac:dyDescent="0.25">
      <c r="A630" t="s">
        <v>1550</v>
      </c>
      <c r="B630" t="s">
        <v>1551</v>
      </c>
      <c r="D630">
        <v>0</v>
      </c>
      <c r="E630">
        <v>0</v>
      </c>
      <c r="F630">
        <v>0</v>
      </c>
      <c r="G630">
        <v>0</v>
      </c>
      <c r="H630">
        <v>0</v>
      </c>
      <c r="I630">
        <v>100</v>
      </c>
      <c r="J630">
        <v>0</v>
      </c>
      <c r="K630" t="s">
        <v>344</v>
      </c>
      <c r="L630">
        <v>503</v>
      </c>
      <c r="M630">
        <v>434</v>
      </c>
      <c r="N630" s="1">
        <f t="shared" si="18"/>
        <v>0.13717693836978129</v>
      </c>
      <c r="O630" s="1">
        <f t="shared" si="19"/>
        <v>0.86282306163021871</v>
      </c>
    </row>
    <row r="631" spans="1:15" x14ac:dyDescent="0.25">
      <c r="A631" t="s">
        <v>1552</v>
      </c>
      <c r="B631" t="s">
        <v>1553</v>
      </c>
      <c r="C631" t="s">
        <v>1010</v>
      </c>
      <c r="D631">
        <v>0</v>
      </c>
      <c r="E631">
        <v>2.92</v>
      </c>
      <c r="F631">
        <v>0</v>
      </c>
      <c r="G631">
        <v>0</v>
      </c>
      <c r="H631">
        <v>0</v>
      </c>
      <c r="I631">
        <v>100</v>
      </c>
      <c r="J631">
        <v>0</v>
      </c>
      <c r="K631" t="s">
        <v>344</v>
      </c>
      <c r="L631">
        <v>503</v>
      </c>
      <c r="M631">
        <v>434</v>
      </c>
      <c r="N631" s="1">
        <f t="shared" si="18"/>
        <v>0.13717693836978129</v>
      </c>
      <c r="O631" s="1">
        <f t="shared" si="19"/>
        <v>0.86282306163021871</v>
      </c>
    </row>
    <row r="632" spans="1:15" x14ac:dyDescent="0.25">
      <c r="A632" t="s">
        <v>1554</v>
      </c>
      <c r="B632" t="s">
        <v>1555</v>
      </c>
      <c r="C632" t="s">
        <v>539</v>
      </c>
      <c r="D632">
        <v>0</v>
      </c>
      <c r="E632">
        <v>2.57</v>
      </c>
      <c r="F632">
        <v>0</v>
      </c>
      <c r="G632">
        <v>0</v>
      </c>
      <c r="H632">
        <v>0</v>
      </c>
      <c r="I632">
        <v>0</v>
      </c>
      <c r="J632">
        <v>0</v>
      </c>
      <c r="K632" t="s">
        <v>344</v>
      </c>
      <c r="L632">
        <v>503</v>
      </c>
      <c r="M632">
        <v>434</v>
      </c>
      <c r="N632" s="1">
        <f t="shared" si="18"/>
        <v>0.13717693836978129</v>
      </c>
      <c r="O632" s="1">
        <f t="shared" si="19"/>
        <v>0.86282306163021871</v>
      </c>
    </row>
    <row r="633" spans="1:15" x14ac:dyDescent="0.25">
      <c r="A633" t="s">
        <v>1556</v>
      </c>
      <c r="B633" t="s">
        <v>1557</v>
      </c>
      <c r="C633" t="s">
        <v>539</v>
      </c>
      <c r="D633">
        <v>0</v>
      </c>
      <c r="E633">
        <v>2.56</v>
      </c>
      <c r="F633">
        <v>0</v>
      </c>
      <c r="G633">
        <v>0</v>
      </c>
      <c r="H633">
        <v>0</v>
      </c>
      <c r="I633">
        <v>100</v>
      </c>
      <c r="J633">
        <v>0</v>
      </c>
      <c r="K633" t="s">
        <v>344</v>
      </c>
      <c r="L633">
        <v>503</v>
      </c>
      <c r="M633">
        <v>434</v>
      </c>
      <c r="N633" s="1">
        <f t="shared" si="18"/>
        <v>0.13717693836978129</v>
      </c>
      <c r="O633" s="1">
        <f t="shared" si="19"/>
        <v>0.86282306163021871</v>
      </c>
    </row>
    <row r="634" spans="1:15" x14ac:dyDescent="0.25">
      <c r="A634" t="s">
        <v>1558</v>
      </c>
      <c r="B634" t="s">
        <v>1559</v>
      </c>
      <c r="C634" t="s">
        <v>400</v>
      </c>
      <c r="D634">
        <v>0</v>
      </c>
      <c r="E634">
        <v>2.0499999999999998</v>
      </c>
      <c r="F634">
        <v>0</v>
      </c>
      <c r="G634">
        <v>0</v>
      </c>
      <c r="H634">
        <v>0</v>
      </c>
      <c r="I634">
        <v>100</v>
      </c>
      <c r="J634">
        <v>0</v>
      </c>
      <c r="K634" t="s">
        <v>344</v>
      </c>
      <c r="L634">
        <v>503</v>
      </c>
      <c r="M634">
        <v>434</v>
      </c>
      <c r="N634" s="1">
        <f t="shared" si="18"/>
        <v>0.13717693836978129</v>
      </c>
      <c r="O634" s="1">
        <f t="shared" si="19"/>
        <v>0.86282306163021871</v>
      </c>
    </row>
    <row r="635" spans="1:15" x14ac:dyDescent="0.25">
      <c r="A635" t="s">
        <v>1560</v>
      </c>
      <c r="B635" t="s">
        <v>1561</v>
      </c>
      <c r="C635" t="s">
        <v>1010</v>
      </c>
      <c r="D635">
        <v>0</v>
      </c>
      <c r="E635">
        <v>2.92</v>
      </c>
      <c r="F635">
        <v>0</v>
      </c>
      <c r="G635">
        <v>0</v>
      </c>
      <c r="H635">
        <v>0</v>
      </c>
      <c r="I635">
        <v>100</v>
      </c>
      <c r="J635">
        <v>0</v>
      </c>
      <c r="K635" t="s">
        <v>344</v>
      </c>
      <c r="L635">
        <v>503</v>
      </c>
      <c r="M635">
        <v>434</v>
      </c>
      <c r="N635" s="1">
        <f t="shared" si="18"/>
        <v>0.13717693836978129</v>
      </c>
      <c r="O635" s="1">
        <f t="shared" si="19"/>
        <v>0.86282306163021871</v>
      </c>
    </row>
    <row r="636" spans="1:15" x14ac:dyDescent="0.25">
      <c r="A636" t="s">
        <v>1562</v>
      </c>
      <c r="B636" t="s">
        <v>1563</v>
      </c>
      <c r="C636" t="s">
        <v>774</v>
      </c>
      <c r="D636">
        <v>0</v>
      </c>
      <c r="E636">
        <v>2.5099999999999998</v>
      </c>
      <c r="F636">
        <v>0</v>
      </c>
      <c r="G636">
        <v>0</v>
      </c>
      <c r="H636">
        <v>0</v>
      </c>
      <c r="I636">
        <v>100</v>
      </c>
      <c r="J636">
        <v>0</v>
      </c>
      <c r="K636" t="s">
        <v>344</v>
      </c>
      <c r="L636">
        <v>503</v>
      </c>
      <c r="M636">
        <v>434</v>
      </c>
      <c r="N636" s="1">
        <f t="shared" si="18"/>
        <v>0.13717693836978129</v>
      </c>
      <c r="O636" s="1">
        <f t="shared" si="19"/>
        <v>0.86282306163021871</v>
      </c>
    </row>
    <row r="637" spans="1:15" x14ac:dyDescent="0.25">
      <c r="A637" t="s">
        <v>1564</v>
      </c>
      <c r="B637" t="s">
        <v>1565</v>
      </c>
      <c r="C637" t="s">
        <v>756</v>
      </c>
      <c r="D637">
        <v>0</v>
      </c>
      <c r="E637">
        <v>2.39</v>
      </c>
      <c r="F637">
        <v>0</v>
      </c>
      <c r="G637">
        <v>0</v>
      </c>
      <c r="H637">
        <v>0</v>
      </c>
      <c r="I637">
        <v>0</v>
      </c>
      <c r="J637">
        <v>0</v>
      </c>
      <c r="K637" t="s">
        <v>344</v>
      </c>
      <c r="L637">
        <v>503</v>
      </c>
      <c r="M637">
        <v>434</v>
      </c>
      <c r="N637" s="1">
        <f t="shared" si="18"/>
        <v>0.13717693836978129</v>
      </c>
      <c r="O637" s="1">
        <f t="shared" si="19"/>
        <v>0.86282306163021871</v>
      </c>
    </row>
    <row r="638" spans="1:15" x14ac:dyDescent="0.25">
      <c r="A638" t="s">
        <v>1566</v>
      </c>
      <c r="B638" t="s">
        <v>1567</v>
      </c>
      <c r="C638" t="s">
        <v>400</v>
      </c>
      <c r="D638">
        <v>0</v>
      </c>
      <c r="E638">
        <v>2.04</v>
      </c>
      <c r="F638">
        <v>0</v>
      </c>
      <c r="G638">
        <v>0</v>
      </c>
      <c r="H638">
        <v>0</v>
      </c>
      <c r="I638">
        <v>100</v>
      </c>
      <c r="J638">
        <v>0</v>
      </c>
      <c r="K638" t="s">
        <v>344</v>
      </c>
      <c r="L638">
        <v>503</v>
      </c>
      <c r="M638">
        <v>434</v>
      </c>
      <c r="N638" s="1">
        <f t="shared" si="18"/>
        <v>0.13717693836978129</v>
      </c>
      <c r="O638" s="1">
        <f t="shared" si="19"/>
        <v>0.86282306163021871</v>
      </c>
    </row>
    <row r="639" spans="1:15" x14ac:dyDescent="0.25">
      <c r="A639" t="s">
        <v>1568</v>
      </c>
      <c r="B639" t="s">
        <v>1569</v>
      </c>
      <c r="C639" t="s">
        <v>539</v>
      </c>
      <c r="D639">
        <v>0</v>
      </c>
      <c r="E639">
        <v>2.57</v>
      </c>
      <c r="F639">
        <v>0</v>
      </c>
      <c r="G639">
        <v>0</v>
      </c>
      <c r="H639">
        <v>0</v>
      </c>
      <c r="I639">
        <v>100</v>
      </c>
      <c r="J639">
        <v>0</v>
      </c>
      <c r="K639" t="s">
        <v>344</v>
      </c>
      <c r="L639">
        <v>503</v>
      </c>
      <c r="M639">
        <v>434</v>
      </c>
      <c r="N639" s="1">
        <f t="shared" si="18"/>
        <v>0.13717693836978129</v>
      </c>
      <c r="O639" s="1">
        <f t="shared" si="19"/>
        <v>0.86282306163021871</v>
      </c>
    </row>
    <row r="640" spans="1:15" x14ac:dyDescent="0.25">
      <c r="A640" t="s">
        <v>1570</v>
      </c>
      <c r="B640" t="s">
        <v>1571</v>
      </c>
      <c r="C640" t="s">
        <v>539</v>
      </c>
      <c r="D640">
        <v>0</v>
      </c>
      <c r="E640">
        <v>2.56</v>
      </c>
      <c r="F640">
        <v>0</v>
      </c>
      <c r="G640">
        <v>0</v>
      </c>
      <c r="H640">
        <v>0</v>
      </c>
      <c r="I640">
        <v>0</v>
      </c>
      <c r="J640">
        <v>0</v>
      </c>
      <c r="K640" t="s">
        <v>344</v>
      </c>
      <c r="L640">
        <v>503</v>
      </c>
      <c r="M640">
        <v>434</v>
      </c>
      <c r="N640" s="1">
        <f t="shared" si="18"/>
        <v>0.13717693836978129</v>
      </c>
      <c r="O640" s="1">
        <f t="shared" si="19"/>
        <v>0.86282306163021871</v>
      </c>
    </row>
    <row r="641" spans="1:15" x14ac:dyDescent="0.25">
      <c r="A641" t="s">
        <v>1572</v>
      </c>
      <c r="B641" t="s">
        <v>1573</v>
      </c>
      <c r="C641" t="s">
        <v>701</v>
      </c>
      <c r="D641">
        <v>0</v>
      </c>
      <c r="E641">
        <v>1.43</v>
      </c>
      <c r="F641">
        <v>0</v>
      </c>
      <c r="G641">
        <v>0</v>
      </c>
      <c r="H641">
        <v>0</v>
      </c>
      <c r="I641">
        <v>110</v>
      </c>
      <c r="J641">
        <v>0</v>
      </c>
      <c r="K641" t="s">
        <v>344</v>
      </c>
      <c r="L641">
        <v>503</v>
      </c>
      <c r="M641">
        <v>434</v>
      </c>
      <c r="N641" s="1">
        <f t="shared" si="18"/>
        <v>0.13717693836978129</v>
      </c>
      <c r="O641" s="1">
        <f t="shared" si="19"/>
        <v>0.86282306163021871</v>
      </c>
    </row>
    <row r="642" spans="1:15" x14ac:dyDescent="0.25">
      <c r="A642" t="s">
        <v>1574</v>
      </c>
      <c r="B642" t="s">
        <v>1575</v>
      </c>
      <c r="C642" t="s">
        <v>539</v>
      </c>
      <c r="D642">
        <v>0</v>
      </c>
      <c r="E642">
        <v>2.56</v>
      </c>
      <c r="F642">
        <v>0</v>
      </c>
      <c r="G642">
        <v>0</v>
      </c>
      <c r="H642">
        <v>0</v>
      </c>
      <c r="I642">
        <v>100</v>
      </c>
      <c r="J642">
        <v>0</v>
      </c>
      <c r="K642" t="s">
        <v>344</v>
      </c>
      <c r="L642">
        <v>503</v>
      </c>
      <c r="M642">
        <v>434</v>
      </c>
      <c r="N642" s="1">
        <f t="shared" ref="N642:N705" si="20">1-O642</f>
        <v>0.13717693836978129</v>
      </c>
      <c r="O642" s="1">
        <f t="shared" ref="O642:O705" si="21">M642/L642</f>
        <v>0.86282306163021871</v>
      </c>
    </row>
    <row r="643" spans="1:15" x14ac:dyDescent="0.25">
      <c r="A643" t="s">
        <v>1576</v>
      </c>
      <c r="B643" t="s">
        <v>1577</v>
      </c>
      <c r="C643" t="s">
        <v>539</v>
      </c>
      <c r="D643">
        <v>0</v>
      </c>
      <c r="E643">
        <v>2.5499999999999998</v>
      </c>
      <c r="F643">
        <v>0</v>
      </c>
      <c r="G643">
        <v>0</v>
      </c>
      <c r="H643">
        <v>0</v>
      </c>
      <c r="I643">
        <v>100</v>
      </c>
      <c r="J643">
        <v>0</v>
      </c>
      <c r="K643" t="s">
        <v>344</v>
      </c>
      <c r="L643">
        <v>503</v>
      </c>
      <c r="M643">
        <v>434</v>
      </c>
      <c r="N643" s="1">
        <f t="shared" si="20"/>
        <v>0.13717693836978129</v>
      </c>
      <c r="O643" s="1">
        <f t="shared" si="21"/>
        <v>0.86282306163021871</v>
      </c>
    </row>
    <row r="644" spans="1:15" x14ac:dyDescent="0.25">
      <c r="A644" t="s">
        <v>1578</v>
      </c>
      <c r="B644" t="s">
        <v>1579</v>
      </c>
      <c r="C644" t="s">
        <v>767</v>
      </c>
      <c r="D644">
        <v>0</v>
      </c>
      <c r="E644">
        <v>3.96</v>
      </c>
      <c r="F644">
        <v>0</v>
      </c>
      <c r="G644">
        <v>0</v>
      </c>
      <c r="H644">
        <v>0</v>
      </c>
      <c r="I644">
        <v>100</v>
      </c>
      <c r="J644">
        <v>0</v>
      </c>
      <c r="K644" t="s">
        <v>344</v>
      </c>
      <c r="L644">
        <v>503</v>
      </c>
      <c r="M644">
        <v>434</v>
      </c>
      <c r="N644" s="1">
        <f t="shared" si="20"/>
        <v>0.13717693836978129</v>
      </c>
      <c r="O644" s="1">
        <f t="shared" si="21"/>
        <v>0.86282306163021871</v>
      </c>
    </row>
    <row r="645" spans="1:15" x14ac:dyDescent="0.25">
      <c r="A645" t="s">
        <v>1580</v>
      </c>
      <c r="B645" t="s">
        <v>1581</v>
      </c>
      <c r="C645" t="s">
        <v>756</v>
      </c>
      <c r="D645">
        <v>0</v>
      </c>
      <c r="E645">
        <v>2.39</v>
      </c>
      <c r="F645">
        <v>0</v>
      </c>
      <c r="G645">
        <v>0</v>
      </c>
      <c r="H645">
        <v>0</v>
      </c>
      <c r="I645">
        <v>0</v>
      </c>
      <c r="J645">
        <v>0</v>
      </c>
      <c r="K645" t="s">
        <v>344</v>
      </c>
      <c r="L645">
        <v>503</v>
      </c>
      <c r="M645">
        <v>434</v>
      </c>
      <c r="N645" s="1">
        <f t="shared" si="20"/>
        <v>0.13717693836978129</v>
      </c>
      <c r="O645" s="1">
        <f t="shared" si="21"/>
        <v>0.86282306163021871</v>
      </c>
    </row>
    <row r="646" spans="1:15" x14ac:dyDescent="0.25">
      <c r="A646" t="s">
        <v>1582</v>
      </c>
      <c r="B646" t="s">
        <v>1583</v>
      </c>
      <c r="C646" t="s">
        <v>756</v>
      </c>
      <c r="D646">
        <v>0</v>
      </c>
      <c r="E646">
        <v>2.39</v>
      </c>
      <c r="F646">
        <v>0</v>
      </c>
      <c r="G646">
        <v>0</v>
      </c>
      <c r="H646">
        <v>0</v>
      </c>
      <c r="I646">
        <v>0</v>
      </c>
      <c r="J646">
        <v>0</v>
      </c>
      <c r="K646" t="s">
        <v>344</v>
      </c>
      <c r="L646">
        <v>503</v>
      </c>
      <c r="M646">
        <v>434</v>
      </c>
      <c r="N646" s="1">
        <f t="shared" si="20"/>
        <v>0.13717693836978129</v>
      </c>
      <c r="O646" s="1">
        <f t="shared" si="21"/>
        <v>0.86282306163021871</v>
      </c>
    </row>
    <row r="647" spans="1:15" x14ac:dyDescent="0.25">
      <c r="A647" t="s">
        <v>1584</v>
      </c>
      <c r="B647" t="s">
        <v>1585</v>
      </c>
      <c r="C647" t="s">
        <v>539</v>
      </c>
      <c r="D647">
        <v>0</v>
      </c>
      <c r="E647">
        <v>2.5499999999999998</v>
      </c>
      <c r="F647">
        <v>0</v>
      </c>
      <c r="G647">
        <v>0</v>
      </c>
      <c r="H647">
        <v>0</v>
      </c>
      <c r="I647">
        <v>100</v>
      </c>
      <c r="J647">
        <v>0</v>
      </c>
      <c r="K647" t="s">
        <v>344</v>
      </c>
      <c r="L647">
        <v>503</v>
      </c>
      <c r="M647">
        <v>434</v>
      </c>
      <c r="N647" s="1">
        <f t="shared" si="20"/>
        <v>0.13717693836978129</v>
      </c>
      <c r="O647" s="1">
        <f t="shared" si="21"/>
        <v>0.86282306163021871</v>
      </c>
    </row>
    <row r="648" spans="1:15" x14ac:dyDescent="0.25">
      <c r="A648" t="s">
        <v>1586</v>
      </c>
      <c r="B648" t="s">
        <v>1587</v>
      </c>
      <c r="D648">
        <v>0</v>
      </c>
      <c r="E648">
        <v>0</v>
      </c>
      <c r="F648">
        <v>0</v>
      </c>
      <c r="G648">
        <v>0</v>
      </c>
      <c r="H648">
        <v>0</v>
      </c>
      <c r="I648">
        <v>0</v>
      </c>
      <c r="J648">
        <v>0</v>
      </c>
      <c r="K648" t="s">
        <v>344</v>
      </c>
      <c r="L648">
        <v>503</v>
      </c>
      <c r="M648">
        <v>434</v>
      </c>
      <c r="N648" s="1">
        <f t="shared" si="20"/>
        <v>0.13717693836978129</v>
      </c>
      <c r="O648" s="1">
        <f t="shared" si="21"/>
        <v>0.86282306163021871</v>
      </c>
    </row>
    <row r="649" spans="1:15" x14ac:dyDescent="0.25">
      <c r="A649" t="s">
        <v>1588</v>
      </c>
      <c r="B649" t="s">
        <v>1589</v>
      </c>
      <c r="C649" t="s">
        <v>767</v>
      </c>
      <c r="D649">
        <v>0</v>
      </c>
      <c r="E649">
        <v>3.96</v>
      </c>
      <c r="F649">
        <v>0</v>
      </c>
      <c r="G649">
        <v>0</v>
      </c>
      <c r="H649">
        <v>0</v>
      </c>
      <c r="I649">
        <v>0</v>
      </c>
      <c r="J649">
        <v>0</v>
      </c>
      <c r="K649" t="s">
        <v>344</v>
      </c>
      <c r="L649">
        <v>503</v>
      </c>
      <c r="M649">
        <v>434</v>
      </c>
      <c r="N649" s="1">
        <f t="shared" si="20"/>
        <v>0.13717693836978129</v>
      </c>
      <c r="O649" s="1">
        <f t="shared" si="21"/>
        <v>0.86282306163021871</v>
      </c>
    </row>
    <row r="650" spans="1:15" x14ac:dyDescent="0.25">
      <c r="A650" t="s">
        <v>1590</v>
      </c>
      <c r="B650" t="s">
        <v>1591</v>
      </c>
      <c r="C650" t="s">
        <v>913</v>
      </c>
      <c r="D650">
        <v>-0.02</v>
      </c>
      <c r="E650">
        <v>1.93</v>
      </c>
      <c r="F650">
        <v>-0.05</v>
      </c>
      <c r="G650">
        <v>7.82</v>
      </c>
      <c r="H650">
        <v>78.13</v>
      </c>
      <c r="I650">
        <v>0.95</v>
      </c>
      <c r="J650">
        <v>0</v>
      </c>
      <c r="K650" t="s">
        <v>344</v>
      </c>
      <c r="L650">
        <v>503</v>
      </c>
      <c r="M650">
        <v>435</v>
      </c>
      <c r="N650" s="1">
        <f t="shared" si="20"/>
        <v>0.13518886679920472</v>
      </c>
      <c r="O650" s="1">
        <f t="shared" si="21"/>
        <v>0.86481113320079528</v>
      </c>
    </row>
    <row r="651" spans="1:15" x14ac:dyDescent="0.25">
      <c r="A651" t="s">
        <v>1592</v>
      </c>
      <c r="B651" t="s">
        <v>1593</v>
      </c>
      <c r="C651" t="s">
        <v>913</v>
      </c>
      <c r="D651">
        <v>-0.05</v>
      </c>
      <c r="E651">
        <v>1.94</v>
      </c>
      <c r="F651">
        <v>-0.11</v>
      </c>
      <c r="G651">
        <v>7.55</v>
      </c>
      <c r="H651">
        <v>80.73</v>
      </c>
      <c r="I651">
        <v>0.95</v>
      </c>
      <c r="J651">
        <v>0</v>
      </c>
      <c r="K651" t="s">
        <v>344</v>
      </c>
      <c r="L651">
        <v>503</v>
      </c>
      <c r="M651">
        <v>435</v>
      </c>
      <c r="N651" s="1">
        <f t="shared" si="20"/>
        <v>0.13518886679920472</v>
      </c>
      <c r="O651" s="1">
        <f t="shared" si="21"/>
        <v>0.86481113320079528</v>
      </c>
    </row>
    <row r="652" spans="1:15" x14ac:dyDescent="0.25">
      <c r="A652" t="s">
        <v>1594</v>
      </c>
      <c r="B652" t="s">
        <v>1595</v>
      </c>
      <c r="C652" t="s">
        <v>368</v>
      </c>
      <c r="D652">
        <v>-7.0000000000000007E-2</v>
      </c>
      <c r="E652">
        <v>2.7</v>
      </c>
      <c r="F652">
        <v>-0.14000000000000001</v>
      </c>
      <c r="G652">
        <v>13.4</v>
      </c>
      <c r="H652">
        <v>81.96</v>
      </c>
      <c r="I652">
        <v>1.02</v>
      </c>
      <c r="J652">
        <v>0</v>
      </c>
      <c r="K652" t="s">
        <v>344</v>
      </c>
      <c r="L652">
        <v>503</v>
      </c>
      <c r="M652">
        <v>435</v>
      </c>
      <c r="N652" s="1">
        <f t="shared" si="20"/>
        <v>0.13518886679920472</v>
      </c>
      <c r="O652" s="1">
        <f t="shared" si="21"/>
        <v>0.86481113320079528</v>
      </c>
    </row>
    <row r="653" spans="1:15" x14ac:dyDescent="0.25">
      <c r="A653" t="s">
        <v>1596</v>
      </c>
      <c r="B653" t="s">
        <v>1597</v>
      </c>
      <c r="C653" t="s">
        <v>368</v>
      </c>
      <c r="D653">
        <v>-7.0000000000000007E-2</v>
      </c>
      <c r="E653">
        <v>2.7</v>
      </c>
      <c r="F653">
        <v>-0.14000000000000001</v>
      </c>
      <c r="G653">
        <v>13.67</v>
      </c>
      <c r="H653">
        <v>81.63</v>
      </c>
      <c r="I653">
        <v>1.02</v>
      </c>
      <c r="J653">
        <v>0</v>
      </c>
      <c r="K653" t="s">
        <v>344</v>
      </c>
      <c r="L653">
        <v>503</v>
      </c>
      <c r="M653">
        <v>435</v>
      </c>
      <c r="N653" s="1">
        <f t="shared" si="20"/>
        <v>0.13518886679920472</v>
      </c>
      <c r="O653" s="1">
        <f t="shared" si="21"/>
        <v>0.86481113320079528</v>
      </c>
    </row>
    <row r="654" spans="1:15" x14ac:dyDescent="0.25">
      <c r="A654" t="s">
        <v>1598</v>
      </c>
      <c r="B654" t="s">
        <v>1599</v>
      </c>
      <c r="C654" t="s">
        <v>368</v>
      </c>
      <c r="D654">
        <v>-7.0000000000000007E-2</v>
      </c>
      <c r="E654">
        <v>2.7</v>
      </c>
      <c r="F654">
        <v>-0.14000000000000001</v>
      </c>
      <c r="G654">
        <v>13.67</v>
      </c>
      <c r="H654">
        <v>81.63</v>
      </c>
      <c r="I654">
        <v>1.02</v>
      </c>
      <c r="J654">
        <v>0</v>
      </c>
      <c r="K654" t="s">
        <v>344</v>
      </c>
      <c r="L654">
        <v>503</v>
      </c>
      <c r="M654">
        <v>435</v>
      </c>
      <c r="N654" s="1">
        <f t="shared" si="20"/>
        <v>0.13518886679920472</v>
      </c>
      <c r="O654" s="1">
        <f t="shared" si="21"/>
        <v>0.86481113320079528</v>
      </c>
    </row>
    <row r="655" spans="1:15" x14ac:dyDescent="0.25">
      <c r="A655" t="s">
        <v>1600</v>
      </c>
      <c r="B655" t="s">
        <v>1601</v>
      </c>
      <c r="C655" t="s">
        <v>368</v>
      </c>
      <c r="D655">
        <v>-7.0000000000000007E-2</v>
      </c>
      <c r="E655">
        <v>2.7</v>
      </c>
      <c r="F655">
        <v>-0.14000000000000001</v>
      </c>
      <c r="G655">
        <v>13.29</v>
      </c>
      <c r="H655">
        <v>82.09</v>
      </c>
      <c r="I655">
        <v>1.02</v>
      </c>
      <c r="J655">
        <v>0</v>
      </c>
      <c r="K655" t="s">
        <v>344</v>
      </c>
      <c r="L655">
        <v>503</v>
      </c>
      <c r="M655">
        <v>435</v>
      </c>
      <c r="N655" s="1">
        <f t="shared" si="20"/>
        <v>0.13518886679920472</v>
      </c>
      <c r="O655" s="1">
        <f t="shared" si="21"/>
        <v>0.86481113320079528</v>
      </c>
    </row>
    <row r="656" spans="1:15" x14ac:dyDescent="0.25">
      <c r="A656" t="s">
        <v>1602</v>
      </c>
      <c r="B656" t="s">
        <v>1603</v>
      </c>
      <c r="C656" t="s">
        <v>368</v>
      </c>
      <c r="D656">
        <v>-7.0000000000000007E-2</v>
      </c>
      <c r="E656">
        <v>2.7</v>
      </c>
      <c r="F656">
        <v>-0.14000000000000001</v>
      </c>
      <c r="G656">
        <v>13.67</v>
      </c>
      <c r="H656">
        <v>81.63</v>
      </c>
      <c r="I656">
        <v>1.02</v>
      </c>
      <c r="J656">
        <v>0</v>
      </c>
      <c r="K656" t="s">
        <v>344</v>
      </c>
      <c r="L656">
        <v>503</v>
      </c>
      <c r="M656">
        <v>435</v>
      </c>
      <c r="N656" s="1">
        <f t="shared" si="20"/>
        <v>0.13518886679920472</v>
      </c>
      <c r="O656" s="1">
        <f t="shared" si="21"/>
        <v>0.86481113320079528</v>
      </c>
    </row>
    <row r="657" spans="1:15" x14ac:dyDescent="0.25">
      <c r="A657" t="s">
        <v>1604</v>
      </c>
      <c r="B657" t="s">
        <v>1605</v>
      </c>
      <c r="D657">
        <v>-0.1</v>
      </c>
      <c r="E657">
        <v>0</v>
      </c>
      <c r="F657">
        <v>-0.2</v>
      </c>
      <c r="G657">
        <v>5.44</v>
      </c>
      <c r="H657">
        <v>79.930000000000007</v>
      </c>
      <c r="I657">
        <v>0.95</v>
      </c>
      <c r="J657">
        <v>0</v>
      </c>
      <c r="K657" t="s">
        <v>344</v>
      </c>
      <c r="L657">
        <v>503</v>
      </c>
      <c r="M657">
        <v>438</v>
      </c>
      <c r="N657" s="1">
        <f t="shared" si="20"/>
        <v>0.12922465208747513</v>
      </c>
      <c r="O657" s="1">
        <f t="shared" si="21"/>
        <v>0.87077534791252487</v>
      </c>
    </row>
    <row r="658" spans="1:15" x14ac:dyDescent="0.25">
      <c r="A658" t="s">
        <v>1606</v>
      </c>
      <c r="B658" t="s">
        <v>1607</v>
      </c>
      <c r="C658" t="s">
        <v>913</v>
      </c>
      <c r="D658">
        <v>-0.14000000000000001</v>
      </c>
      <c r="E658">
        <v>1.94</v>
      </c>
      <c r="F658">
        <v>-0.28999999999999998</v>
      </c>
      <c r="G658">
        <v>7.35</v>
      </c>
      <c r="H658">
        <v>77.91</v>
      </c>
      <c r="I658">
        <v>0.96</v>
      </c>
      <c r="J658">
        <v>0</v>
      </c>
      <c r="K658" t="s">
        <v>344</v>
      </c>
      <c r="L658">
        <v>503</v>
      </c>
      <c r="M658">
        <v>440</v>
      </c>
      <c r="N658" s="1">
        <f t="shared" si="20"/>
        <v>0.12524850894632211</v>
      </c>
      <c r="O658" s="1">
        <f t="shared" si="21"/>
        <v>0.87475149105367789</v>
      </c>
    </row>
    <row r="659" spans="1:15" x14ac:dyDescent="0.25">
      <c r="A659" t="s">
        <v>1608</v>
      </c>
      <c r="B659" t="s">
        <v>1609</v>
      </c>
      <c r="C659" t="s">
        <v>935</v>
      </c>
      <c r="D659">
        <v>-0.15</v>
      </c>
      <c r="E659">
        <v>3.41</v>
      </c>
      <c r="F659">
        <v>-0.3</v>
      </c>
      <c r="G659">
        <v>13</v>
      </c>
      <c r="H659">
        <v>70</v>
      </c>
      <c r="I659">
        <v>2</v>
      </c>
      <c r="J659">
        <v>0</v>
      </c>
      <c r="K659" t="s">
        <v>344</v>
      </c>
      <c r="L659">
        <v>503</v>
      </c>
      <c r="M659">
        <v>440</v>
      </c>
      <c r="N659" s="1">
        <f t="shared" si="20"/>
        <v>0.12524850894632211</v>
      </c>
      <c r="O659" s="1">
        <f t="shared" si="21"/>
        <v>0.87475149105367789</v>
      </c>
    </row>
    <row r="660" spans="1:15" x14ac:dyDescent="0.25">
      <c r="A660" t="s">
        <v>1610</v>
      </c>
      <c r="B660" t="s">
        <v>1611</v>
      </c>
      <c r="C660" t="s">
        <v>1612</v>
      </c>
      <c r="D660">
        <v>-0.18</v>
      </c>
      <c r="E660">
        <v>2.52</v>
      </c>
      <c r="F660">
        <v>-0.35</v>
      </c>
      <c r="G660">
        <v>8</v>
      </c>
      <c r="H660">
        <v>50</v>
      </c>
      <c r="I660">
        <v>5</v>
      </c>
      <c r="J660">
        <v>0</v>
      </c>
      <c r="K660" t="s">
        <v>344</v>
      </c>
      <c r="L660">
        <v>503</v>
      </c>
      <c r="M660">
        <v>441</v>
      </c>
      <c r="N660" s="1">
        <f t="shared" si="20"/>
        <v>0.12326043737574555</v>
      </c>
      <c r="O660" s="1">
        <f t="shared" si="21"/>
        <v>0.87673956262425445</v>
      </c>
    </row>
    <row r="661" spans="1:15" x14ac:dyDescent="0.25">
      <c r="A661" t="s">
        <v>1613</v>
      </c>
      <c r="B661" t="s">
        <v>1614</v>
      </c>
      <c r="C661" t="s">
        <v>913</v>
      </c>
      <c r="D661">
        <v>-0.21</v>
      </c>
      <c r="F661">
        <v>-0.49</v>
      </c>
      <c r="G661">
        <v>6.65</v>
      </c>
      <c r="H661">
        <v>86.2</v>
      </c>
      <c r="I661">
        <v>1.01</v>
      </c>
      <c r="J661">
        <v>1.32</v>
      </c>
      <c r="K661" t="s">
        <v>344</v>
      </c>
      <c r="L661">
        <v>503</v>
      </c>
      <c r="M661">
        <v>444</v>
      </c>
      <c r="N661" s="1">
        <f t="shared" si="20"/>
        <v>0.11729622266401596</v>
      </c>
      <c r="O661" s="1">
        <f t="shared" si="21"/>
        <v>0.88270377733598404</v>
      </c>
    </row>
    <row r="662" spans="1:15" x14ac:dyDescent="0.25">
      <c r="A662" t="s">
        <v>1615</v>
      </c>
      <c r="B662" t="s">
        <v>1616</v>
      </c>
      <c r="C662" t="s">
        <v>1617</v>
      </c>
      <c r="D662">
        <v>-0.25</v>
      </c>
      <c r="E662">
        <v>2.58</v>
      </c>
      <c r="F662">
        <v>-0.5</v>
      </c>
      <c r="G662">
        <v>5.13</v>
      </c>
      <c r="H662">
        <v>84.24</v>
      </c>
      <c r="I662">
        <v>1.84</v>
      </c>
      <c r="J662">
        <v>2.13</v>
      </c>
      <c r="K662" t="s">
        <v>344</v>
      </c>
      <c r="L662">
        <v>503</v>
      </c>
      <c r="M662">
        <v>445</v>
      </c>
      <c r="N662" s="1">
        <f t="shared" si="20"/>
        <v>0.11530815109343939</v>
      </c>
      <c r="O662" s="1">
        <f t="shared" si="21"/>
        <v>0.88469184890656061</v>
      </c>
    </row>
    <row r="663" spans="1:15" x14ac:dyDescent="0.25">
      <c r="A663" t="s">
        <v>1618</v>
      </c>
      <c r="B663" t="s">
        <v>1619</v>
      </c>
      <c r="C663" t="s">
        <v>913</v>
      </c>
      <c r="D663">
        <v>-0.26</v>
      </c>
      <c r="E663">
        <v>1.93</v>
      </c>
      <c r="F663">
        <v>-0.53</v>
      </c>
      <c r="G663">
        <v>7.39</v>
      </c>
      <c r="H663">
        <v>79.459999999999994</v>
      </c>
      <c r="I663">
        <v>0.95</v>
      </c>
      <c r="J663">
        <v>0</v>
      </c>
      <c r="K663" t="s">
        <v>344</v>
      </c>
      <c r="L663">
        <v>503</v>
      </c>
      <c r="M663">
        <v>445</v>
      </c>
      <c r="N663" s="1">
        <f t="shared" si="20"/>
        <v>0.11530815109343939</v>
      </c>
      <c r="O663" s="1">
        <f t="shared" si="21"/>
        <v>0.88469184890656061</v>
      </c>
    </row>
    <row r="664" spans="1:15" x14ac:dyDescent="0.25">
      <c r="A664" t="s">
        <v>1620</v>
      </c>
      <c r="B664" t="s">
        <v>1621</v>
      </c>
      <c r="C664" t="s">
        <v>1622</v>
      </c>
      <c r="D664">
        <v>-0.26</v>
      </c>
      <c r="E664">
        <v>2.79</v>
      </c>
      <c r="F664">
        <v>-0.53</v>
      </c>
      <c r="G664">
        <v>18.760000000000002</v>
      </c>
      <c r="H664">
        <v>64.59</v>
      </c>
      <c r="I664">
        <v>2</v>
      </c>
      <c r="J664">
        <v>0</v>
      </c>
      <c r="K664" t="s">
        <v>344</v>
      </c>
      <c r="L664">
        <v>503</v>
      </c>
      <c r="M664">
        <v>445</v>
      </c>
      <c r="N664" s="1">
        <f t="shared" si="20"/>
        <v>0.11530815109343939</v>
      </c>
      <c r="O664" s="1">
        <f t="shared" si="21"/>
        <v>0.88469184890656061</v>
      </c>
    </row>
    <row r="665" spans="1:15" x14ac:dyDescent="0.25">
      <c r="A665" t="s">
        <v>1623</v>
      </c>
      <c r="B665" t="s">
        <v>1624</v>
      </c>
      <c r="C665" t="s">
        <v>1060</v>
      </c>
      <c r="D665">
        <v>-0.39</v>
      </c>
      <c r="E665">
        <v>3.16</v>
      </c>
      <c r="F665">
        <v>-0.79</v>
      </c>
      <c r="G665">
        <v>2.2999999999999998</v>
      </c>
      <c r="H665">
        <v>79.23</v>
      </c>
      <c r="I665">
        <v>1.87</v>
      </c>
      <c r="J665">
        <v>0</v>
      </c>
      <c r="K665" t="s">
        <v>344</v>
      </c>
      <c r="L665">
        <v>503</v>
      </c>
      <c r="M665">
        <v>454</v>
      </c>
      <c r="N665" s="1">
        <f t="shared" si="20"/>
        <v>9.741550695825052E-2</v>
      </c>
      <c r="O665" s="1">
        <f t="shared" si="21"/>
        <v>0.90258449304174948</v>
      </c>
    </row>
    <row r="666" spans="1:15" x14ac:dyDescent="0.25">
      <c r="A666" t="s">
        <v>1625</v>
      </c>
      <c r="B666" t="s">
        <v>1626</v>
      </c>
      <c r="C666" t="s">
        <v>1627</v>
      </c>
      <c r="D666">
        <v>-0.42</v>
      </c>
      <c r="E666">
        <v>1.79</v>
      </c>
      <c r="F666">
        <v>-0.84</v>
      </c>
      <c r="G666">
        <v>0</v>
      </c>
      <c r="H666">
        <v>77</v>
      </c>
      <c r="I666">
        <v>15</v>
      </c>
      <c r="J666">
        <v>0</v>
      </c>
      <c r="K666" t="s">
        <v>344</v>
      </c>
      <c r="L666">
        <v>503</v>
      </c>
      <c r="M666">
        <v>455</v>
      </c>
      <c r="N666" s="1">
        <f t="shared" si="20"/>
        <v>9.5427435387673953E-2</v>
      </c>
      <c r="O666" s="1">
        <f t="shared" si="21"/>
        <v>0.90457256461232605</v>
      </c>
    </row>
    <row r="667" spans="1:15" x14ac:dyDescent="0.25">
      <c r="A667" t="s">
        <v>1628</v>
      </c>
      <c r="B667" t="s">
        <v>1629</v>
      </c>
      <c r="C667" t="s">
        <v>1315</v>
      </c>
      <c r="D667">
        <v>-1.96</v>
      </c>
      <c r="E667">
        <v>2.91</v>
      </c>
      <c r="F667">
        <v>-3.91</v>
      </c>
      <c r="G667">
        <v>5</v>
      </c>
      <c r="H667">
        <v>74</v>
      </c>
      <c r="I667">
        <v>2</v>
      </c>
      <c r="J667">
        <v>7</v>
      </c>
      <c r="K667" t="s">
        <v>344</v>
      </c>
      <c r="L667">
        <v>503</v>
      </c>
      <c r="M667">
        <v>492</v>
      </c>
      <c r="N667" s="1">
        <f t="shared" si="20"/>
        <v>2.1868787276341894E-2</v>
      </c>
      <c r="O667" s="1">
        <f t="shared" si="21"/>
        <v>0.97813121272365811</v>
      </c>
    </row>
    <row r="668" spans="1:15" x14ac:dyDescent="0.25">
      <c r="A668" t="s">
        <v>1630</v>
      </c>
      <c r="B668" t="s">
        <v>1631</v>
      </c>
      <c r="C668" t="s">
        <v>1315</v>
      </c>
      <c r="D668">
        <v>-3.02</v>
      </c>
      <c r="E668">
        <v>2.91</v>
      </c>
      <c r="F668">
        <v>-5.99</v>
      </c>
      <c r="G668">
        <v>0</v>
      </c>
      <c r="H668">
        <v>78.260000000000005</v>
      </c>
      <c r="I668">
        <v>1.74</v>
      </c>
      <c r="J668">
        <v>5</v>
      </c>
      <c r="K668" t="s">
        <v>344</v>
      </c>
      <c r="L668">
        <v>503</v>
      </c>
      <c r="M668">
        <v>502</v>
      </c>
      <c r="N668" s="1">
        <f t="shared" si="20"/>
        <v>1.9880715705765661E-3</v>
      </c>
      <c r="O668" s="1">
        <f t="shared" si="21"/>
        <v>0.99801192842942343</v>
      </c>
    </row>
    <row r="669" spans="1:15" x14ac:dyDescent="0.25">
      <c r="A669" t="s">
        <v>1632</v>
      </c>
      <c r="B669" t="s">
        <v>1633</v>
      </c>
      <c r="C669" t="s">
        <v>1634</v>
      </c>
      <c r="D669">
        <v>-4.16</v>
      </c>
      <c r="E669">
        <v>4.13</v>
      </c>
      <c r="F669">
        <v>-8.2200000000000006</v>
      </c>
      <c r="G669">
        <v>10</v>
      </c>
      <c r="H669">
        <v>52</v>
      </c>
      <c r="I669">
        <v>3</v>
      </c>
      <c r="J669">
        <v>8</v>
      </c>
      <c r="K669" t="s">
        <v>344</v>
      </c>
      <c r="L669">
        <v>503</v>
      </c>
      <c r="M669">
        <v>503</v>
      </c>
      <c r="N669" s="1">
        <f t="shared" si="20"/>
        <v>0</v>
      </c>
      <c r="O669" s="1">
        <f t="shared" si="21"/>
        <v>1</v>
      </c>
    </row>
    <row r="670" spans="1:15" x14ac:dyDescent="0.25">
      <c r="A670" t="s">
        <v>1635</v>
      </c>
      <c r="B670" t="s">
        <v>1636</v>
      </c>
      <c r="C670" t="s">
        <v>1637</v>
      </c>
      <c r="D670">
        <v>-5.09</v>
      </c>
      <c r="E670">
        <v>2.91</v>
      </c>
      <c r="F670">
        <v>-10.01</v>
      </c>
      <c r="G670">
        <v>12.81</v>
      </c>
      <c r="H670">
        <v>82.36</v>
      </c>
      <c r="I670">
        <v>0.91</v>
      </c>
      <c r="J670">
        <v>4.2300000000000004</v>
      </c>
      <c r="K670" t="s">
        <v>344</v>
      </c>
      <c r="L670">
        <v>503</v>
      </c>
      <c r="M670">
        <v>503</v>
      </c>
      <c r="N670" s="1">
        <f t="shared" si="20"/>
        <v>0</v>
      </c>
      <c r="O670" s="1">
        <f t="shared" si="21"/>
        <v>1</v>
      </c>
    </row>
    <row r="671" spans="1:15" x14ac:dyDescent="0.25">
      <c r="A671" t="s">
        <v>1638</v>
      </c>
      <c r="B671" t="s">
        <v>1639</v>
      </c>
      <c r="C671" t="s">
        <v>1315</v>
      </c>
      <c r="D671">
        <v>-6.3</v>
      </c>
      <c r="E671">
        <v>2.91</v>
      </c>
      <c r="F671">
        <v>-12.29</v>
      </c>
      <c r="G671">
        <v>14.28</v>
      </c>
      <c r="H671">
        <v>79.2</v>
      </c>
      <c r="I671">
        <v>1.99</v>
      </c>
      <c r="J671">
        <v>4.1900000000000004</v>
      </c>
      <c r="K671" t="s">
        <v>344</v>
      </c>
      <c r="L671">
        <v>504</v>
      </c>
      <c r="M671">
        <v>504</v>
      </c>
      <c r="N671" s="1">
        <f t="shared" si="20"/>
        <v>0</v>
      </c>
      <c r="O671" s="1">
        <f t="shared" si="21"/>
        <v>1</v>
      </c>
    </row>
    <row r="672" spans="1:15" x14ac:dyDescent="0.25">
      <c r="A672" t="s">
        <v>1640</v>
      </c>
      <c r="B672" t="s">
        <v>1641</v>
      </c>
      <c r="C672" t="s">
        <v>1642</v>
      </c>
      <c r="D672">
        <v>-11.86</v>
      </c>
      <c r="F672">
        <v>-27.39</v>
      </c>
      <c r="G672">
        <v>10</v>
      </c>
      <c r="H672">
        <v>0</v>
      </c>
      <c r="I672">
        <v>40</v>
      </c>
      <c r="J672">
        <v>0</v>
      </c>
      <c r="K672" t="s">
        <v>344</v>
      </c>
      <c r="L672">
        <v>504</v>
      </c>
      <c r="M672">
        <v>504</v>
      </c>
      <c r="N672" s="1">
        <f t="shared" si="20"/>
        <v>0</v>
      </c>
      <c r="O672" s="1">
        <f t="shared" si="21"/>
        <v>1</v>
      </c>
    </row>
    <row r="673" spans="1:15" x14ac:dyDescent="0.25">
      <c r="A673" t="s">
        <v>1643</v>
      </c>
      <c r="B673" t="s">
        <v>1644</v>
      </c>
      <c r="C673" t="s">
        <v>1645</v>
      </c>
      <c r="D673">
        <v>66.53</v>
      </c>
      <c r="E673">
        <v>43.5</v>
      </c>
      <c r="F673">
        <v>179.67</v>
      </c>
      <c r="G673">
        <v>82.14</v>
      </c>
      <c r="H673">
        <v>0</v>
      </c>
      <c r="I673">
        <v>2.1</v>
      </c>
      <c r="J673">
        <v>0</v>
      </c>
      <c r="K673" t="s">
        <v>1646</v>
      </c>
      <c r="L673">
        <v>210</v>
      </c>
      <c r="M673">
        <v>2</v>
      </c>
      <c r="N673" s="1">
        <f t="shared" si="20"/>
        <v>0.99047619047619051</v>
      </c>
      <c r="O673" s="1">
        <f t="shared" si="21"/>
        <v>9.5238095238095247E-3</v>
      </c>
    </row>
    <row r="674" spans="1:15" x14ac:dyDescent="0.25">
      <c r="A674" t="s">
        <v>1647</v>
      </c>
      <c r="B674" t="s">
        <v>1648</v>
      </c>
      <c r="C674" t="s">
        <v>1649</v>
      </c>
      <c r="D674">
        <v>58.64</v>
      </c>
      <c r="E674">
        <v>33.18</v>
      </c>
      <c r="F674">
        <v>153.61000000000001</v>
      </c>
      <c r="G674">
        <v>93.77</v>
      </c>
      <c r="H674">
        <v>0</v>
      </c>
      <c r="I674">
        <v>0.97</v>
      </c>
      <c r="J674">
        <v>0</v>
      </c>
      <c r="K674" t="s">
        <v>1646</v>
      </c>
      <c r="L674">
        <v>210</v>
      </c>
      <c r="M674">
        <v>6</v>
      </c>
      <c r="N674" s="1">
        <f t="shared" si="20"/>
        <v>0.97142857142857142</v>
      </c>
      <c r="O674" s="1">
        <f t="shared" si="21"/>
        <v>2.8571428571428571E-2</v>
      </c>
    </row>
    <row r="675" spans="1:15" x14ac:dyDescent="0.25">
      <c r="A675" t="s">
        <v>1650</v>
      </c>
      <c r="B675" t="s">
        <v>1651</v>
      </c>
      <c r="C675" t="s">
        <v>1652</v>
      </c>
      <c r="D675">
        <v>54.41</v>
      </c>
      <c r="E675">
        <v>5.5</v>
      </c>
      <c r="F675">
        <v>140.16</v>
      </c>
      <c r="G675">
        <v>92</v>
      </c>
      <c r="H675">
        <v>0</v>
      </c>
      <c r="I675">
        <v>2</v>
      </c>
      <c r="J675">
        <v>0</v>
      </c>
      <c r="K675" t="s">
        <v>1646</v>
      </c>
      <c r="L675">
        <v>210</v>
      </c>
      <c r="M675">
        <v>8</v>
      </c>
      <c r="N675" s="1">
        <f t="shared" si="20"/>
        <v>0.96190476190476193</v>
      </c>
      <c r="O675" s="1">
        <f t="shared" si="21"/>
        <v>3.8095238095238099E-2</v>
      </c>
    </row>
    <row r="676" spans="1:15" x14ac:dyDescent="0.25">
      <c r="A676" t="s">
        <v>1653</v>
      </c>
      <c r="B676" t="s">
        <v>1654</v>
      </c>
      <c r="C676" t="s">
        <v>481</v>
      </c>
      <c r="D676">
        <v>50.31</v>
      </c>
      <c r="E676">
        <v>26.62</v>
      </c>
      <c r="F676">
        <v>127.48</v>
      </c>
      <c r="G676">
        <v>81.2</v>
      </c>
      <c r="H676">
        <v>0</v>
      </c>
      <c r="I676">
        <v>3</v>
      </c>
      <c r="J676">
        <v>3</v>
      </c>
      <c r="K676" t="s">
        <v>1646</v>
      </c>
      <c r="L676">
        <v>210</v>
      </c>
      <c r="M676">
        <v>10</v>
      </c>
      <c r="N676" s="1">
        <f t="shared" si="20"/>
        <v>0.95238095238095233</v>
      </c>
      <c r="O676" s="1">
        <f t="shared" si="21"/>
        <v>4.7619047619047616E-2</v>
      </c>
    </row>
    <row r="677" spans="1:15" x14ac:dyDescent="0.25">
      <c r="A677" t="s">
        <v>1655</v>
      </c>
      <c r="B677" t="s">
        <v>1656</v>
      </c>
      <c r="C677" t="s">
        <v>1657</v>
      </c>
      <c r="D677">
        <v>47.45</v>
      </c>
      <c r="E677">
        <v>8.9499999999999993</v>
      </c>
      <c r="F677">
        <v>118.83</v>
      </c>
      <c r="G677">
        <v>75.03</v>
      </c>
      <c r="H677">
        <v>0</v>
      </c>
      <c r="I677">
        <v>0.98</v>
      </c>
      <c r="J677">
        <v>0</v>
      </c>
      <c r="K677" t="s">
        <v>1646</v>
      </c>
      <c r="L677">
        <v>210</v>
      </c>
      <c r="M677">
        <v>10</v>
      </c>
      <c r="N677" s="1">
        <f t="shared" si="20"/>
        <v>0.95238095238095233</v>
      </c>
      <c r="O677" s="1">
        <f t="shared" si="21"/>
        <v>4.7619047619047616E-2</v>
      </c>
    </row>
    <row r="678" spans="1:15" x14ac:dyDescent="0.25">
      <c r="A678" t="s">
        <v>1658</v>
      </c>
      <c r="B678" t="s">
        <v>1659</v>
      </c>
      <c r="C678" t="s">
        <v>1660</v>
      </c>
      <c r="D678">
        <v>42.64</v>
      </c>
      <c r="E678">
        <v>15.22</v>
      </c>
      <c r="F678">
        <v>104.67</v>
      </c>
      <c r="G678">
        <v>98</v>
      </c>
      <c r="H678">
        <v>0</v>
      </c>
      <c r="I678">
        <v>2</v>
      </c>
      <c r="J678">
        <v>0</v>
      </c>
      <c r="K678" t="s">
        <v>1646</v>
      </c>
      <c r="L678">
        <v>210</v>
      </c>
      <c r="M678">
        <v>11</v>
      </c>
      <c r="N678" s="1">
        <f t="shared" si="20"/>
        <v>0.94761904761904758</v>
      </c>
      <c r="O678" s="1">
        <f t="shared" si="21"/>
        <v>5.2380952380952382E-2</v>
      </c>
    </row>
    <row r="679" spans="1:15" x14ac:dyDescent="0.25">
      <c r="A679" t="s">
        <v>1661</v>
      </c>
      <c r="B679" t="s">
        <v>1662</v>
      </c>
      <c r="C679" t="s">
        <v>1663</v>
      </c>
      <c r="D679">
        <v>40.520000000000003</v>
      </c>
      <c r="E679">
        <v>25.67</v>
      </c>
      <c r="F679">
        <v>98.58</v>
      </c>
      <c r="G679">
        <v>94.99</v>
      </c>
      <c r="H679">
        <v>0</v>
      </c>
      <c r="I679">
        <v>1.01</v>
      </c>
      <c r="J679">
        <v>0</v>
      </c>
      <c r="K679" t="s">
        <v>1646</v>
      </c>
      <c r="L679">
        <v>210</v>
      </c>
      <c r="M679">
        <v>13</v>
      </c>
      <c r="N679" s="1">
        <f t="shared" si="20"/>
        <v>0.93809523809523809</v>
      </c>
      <c r="O679" s="1">
        <f t="shared" si="21"/>
        <v>6.1904761904761907E-2</v>
      </c>
    </row>
    <row r="680" spans="1:15" x14ac:dyDescent="0.25">
      <c r="A680" t="s">
        <v>1664</v>
      </c>
      <c r="B680" t="s">
        <v>1665</v>
      </c>
      <c r="C680" t="s">
        <v>1666</v>
      </c>
      <c r="D680">
        <v>38.79</v>
      </c>
      <c r="E680">
        <v>15.07</v>
      </c>
      <c r="F680">
        <v>93.67</v>
      </c>
      <c r="G680">
        <v>81.72</v>
      </c>
      <c r="H680">
        <v>0</v>
      </c>
      <c r="I680">
        <v>1.57</v>
      </c>
      <c r="J680">
        <v>0</v>
      </c>
      <c r="K680" t="s">
        <v>1646</v>
      </c>
      <c r="L680">
        <v>210</v>
      </c>
      <c r="M680">
        <v>19</v>
      </c>
      <c r="N680" s="1">
        <f t="shared" si="20"/>
        <v>0.90952380952380951</v>
      </c>
      <c r="O680" s="1">
        <f t="shared" si="21"/>
        <v>9.0476190476190474E-2</v>
      </c>
    </row>
    <row r="681" spans="1:15" x14ac:dyDescent="0.25">
      <c r="A681" t="s">
        <v>1667</v>
      </c>
      <c r="B681" t="s">
        <v>1668</v>
      </c>
      <c r="C681" t="s">
        <v>1669</v>
      </c>
      <c r="D681">
        <v>38.79</v>
      </c>
      <c r="E681">
        <v>15.07</v>
      </c>
      <c r="F681">
        <v>93.67</v>
      </c>
      <c r="G681">
        <v>81.72</v>
      </c>
      <c r="H681">
        <v>0</v>
      </c>
      <c r="I681">
        <v>1.57</v>
      </c>
      <c r="J681">
        <v>0</v>
      </c>
      <c r="K681" t="s">
        <v>1646</v>
      </c>
      <c r="L681">
        <v>210</v>
      </c>
      <c r="M681">
        <v>19</v>
      </c>
      <c r="N681" s="1">
        <f t="shared" si="20"/>
        <v>0.90952380952380951</v>
      </c>
      <c r="O681" s="1">
        <f t="shared" si="21"/>
        <v>9.0476190476190474E-2</v>
      </c>
    </row>
    <row r="682" spans="1:15" x14ac:dyDescent="0.25">
      <c r="A682" t="s">
        <v>1670</v>
      </c>
      <c r="B682" t="s">
        <v>1671</v>
      </c>
      <c r="C682" t="s">
        <v>127</v>
      </c>
      <c r="D682">
        <v>38.619999999999997</v>
      </c>
      <c r="E682">
        <v>6.86</v>
      </c>
      <c r="F682">
        <v>93.19</v>
      </c>
      <c r="G682">
        <v>81.72</v>
      </c>
      <c r="H682">
        <v>0</v>
      </c>
      <c r="I682">
        <v>1.57</v>
      </c>
      <c r="J682">
        <v>0</v>
      </c>
      <c r="K682" t="s">
        <v>1646</v>
      </c>
      <c r="L682">
        <v>210</v>
      </c>
      <c r="M682">
        <v>19</v>
      </c>
      <c r="N682" s="1">
        <f t="shared" si="20"/>
        <v>0.90952380952380951</v>
      </c>
      <c r="O682" s="1">
        <f t="shared" si="21"/>
        <v>9.0476190476190474E-2</v>
      </c>
    </row>
    <row r="683" spans="1:15" x14ac:dyDescent="0.25">
      <c r="A683" t="s">
        <v>1672</v>
      </c>
      <c r="B683" t="s">
        <v>1673</v>
      </c>
      <c r="D683">
        <v>36.83</v>
      </c>
      <c r="E683">
        <v>0</v>
      </c>
      <c r="F683">
        <v>88.21</v>
      </c>
      <c r="G683">
        <v>95</v>
      </c>
      <c r="H683">
        <v>0</v>
      </c>
      <c r="I683">
        <v>5</v>
      </c>
      <c r="J683">
        <v>0</v>
      </c>
      <c r="K683" t="s">
        <v>1646</v>
      </c>
      <c r="L683">
        <v>210</v>
      </c>
      <c r="M683">
        <v>22</v>
      </c>
      <c r="N683" s="1">
        <f t="shared" si="20"/>
        <v>0.89523809523809528</v>
      </c>
      <c r="O683" s="1">
        <f t="shared" si="21"/>
        <v>0.10476190476190476</v>
      </c>
    </row>
    <row r="684" spans="1:15" x14ac:dyDescent="0.25">
      <c r="A684" t="s">
        <v>1674</v>
      </c>
      <c r="B684" t="s">
        <v>1675</v>
      </c>
      <c r="C684" t="s">
        <v>1676</v>
      </c>
      <c r="D684">
        <v>33.36</v>
      </c>
      <c r="E684">
        <v>6.94</v>
      </c>
      <c r="F684">
        <v>78.69</v>
      </c>
      <c r="G684">
        <v>70.790000000000006</v>
      </c>
      <c r="H684">
        <v>4.67</v>
      </c>
      <c r="I684">
        <v>0.8</v>
      </c>
      <c r="J684">
        <v>3.54</v>
      </c>
      <c r="K684" t="s">
        <v>1646</v>
      </c>
      <c r="L684">
        <v>210</v>
      </c>
      <c r="M684">
        <v>24</v>
      </c>
      <c r="N684" s="1">
        <f t="shared" si="20"/>
        <v>0.88571428571428568</v>
      </c>
      <c r="O684" s="1">
        <f t="shared" si="21"/>
        <v>0.11428571428571428</v>
      </c>
    </row>
    <row r="685" spans="1:15" x14ac:dyDescent="0.25">
      <c r="A685" t="s">
        <v>1677</v>
      </c>
      <c r="B685" t="s">
        <v>1675</v>
      </c>
      <c r="C685" t="s">
        <v>1678</v>
      </c>
      <c r="D685">
        <v>32.19</v>
      </c>
      <c r="E685">
        <v>6.29</v>
      </c>
      <c r="F685">
        <v>75.56</v>
      </c>
      <c r="G685">
        <v>68</v>
      </c>
      <c r="H685">
        <v>6</v>
      </c>
      <c r="I685">
        <v>1</v>
      </c>
      <c r="J685">
        <v>6</v>
      </c>
      <c r="K685" t="s">
        <v>1646</v>
      </c>
      <c r="L685">
        <v>210</v>
      </c>
      <c r="M685">
        <v>25</v>
      </c>
      <c r="N685" s="1">
        <f t="shared" si="20"/>
        <v>0.88095238095238093</v>
      </c>
      <c r="O685" s="1">
        <f t="shared" si="21"/>
        <v>0.11904761904761904</v>
      </c>
    </row>
    <row r="686" spans="1:15" x14ac:dyDescent="0.25">
      <c r="A686" t="s">
        <v>1679</v>
      </c>
      <c r="B686" t="s">
        <v>1680</v>
      </c>
      <c r="C686" t="s">
        <v>1681</v>
      </c>
      <c r="D686">
        <v>32.020000000000003</v>
      </c>
      <c r="E686">
        <v>8.92</v>
      </c>
      <c r="F686">
        <v>75.11</v>
      </c>
      <c r="G686">
        <v>99</v>
      </c>
      <c r="H686">
        <v>0</v>
      </c>
      <c r="I686">
        <v>1</v>
      </c>
      <c r="J686">
        <v>0</v>
      </c>
      <c r="K686" t="s">
        <v>1646</v>
      </c>
      <c r="L686">
        <v>210</v>
      </c>
      <c r="M686">
        <v>26</v>
      </c>
      <c r="N686" s="1">
        <f t="shared" si="20"/>
        <v>0.87619047619047619</v>
      </c>
      <c r="O686" s="1">
        <f t="shared" si="21"/>
        <v>0.12380952380952381</v>
      </c>
    </row>
    <row r="687" spans="1:15" x14ac:dyDescent="0.25">
      <c r="A687" t="s">
        <v>1682</v>
      </c>
      <c r="B687" t="s">
        <v>1683</v>
      </c>
      <c r="C687" t="s">
        <v>1684</v>
      </c>
      <c r="D687">
        <v>31.82</v>
      </c>
      <c r="E687">
        <v>12.01</v>
      </c>
      <c r="F687">
        <v>74.569999999999993</v>
      </c>
      <c r="G687">
        <v>86.61</v>
      </c>
      <c r="H687">
        <v>9.75</v>
      </c>
      <c r="I687">
        <v>0.85</v>
      </c>
      <c r="J687">
        <v>0</v>
      </c>
      <c r="K687" t="s">
        <v>1646</v>
      </c>
      <c r="L687">
        <v>210</v>
      </c>
      <c r="M687">
        <v>26</v>
      </c>
      <c r="N687" s="1">
        <f t="shared" si="20"/>
        <v>0.87619047619047619</v>
      </c>
      <c r="O687" s="1">
        <f t="shared" si="21"/>
        <v>0.12380952380952381</v>
      </c>
    </row>
    <row r="688" spans="1:15" x14ac:dyDescent="0.25">
      <c r="A688" t="s">
        <v>1685</v>
      </c>
      <c r="B688" t="s">
        <v>1686</v>
      </c>
      <c r="C688" t="s">
        <v>1681</v>
      </c>
      <c r="D688">
        <v>30.23</v>
      </c>
      <c r="E688">
        <v>8.92</v>
      </c>
      <c r="F688">
        <v>70.34</v>
      </c>
      <c r="G688">
        <v>98.5</v>
      </c>
      <c r="H688">
        <v>0</v>
      </c>
      <c r="I688">
        <v>1.5</v>
      </c>
      <c r="J688">
        <v>0</v>
      </c>
      <c r="K688" t="s">
        <v>1646</v>
      </c>
      <c r="L688">
        <v>210</v>
      </c>
      <c r="M688">
        <v>33</v>
      </c>
      <c r="N688" s="1">
        <f t="shared" si="20"/>
        <v>0.84285714285714286</v>
      </c>
      <c r="O688" s="1">
        <f t="shared" si="21"/>
        <v>0.15714285714285714</v>
      </c>
    </row>
    <row r="689" spans="1:15" x14ac:dyDescent="0.25">
      <c r="A689" t="s">
        <v>1687</v>
      </c>
      <c r="B689" t="s">
        <v>1688</v>
      </c>
      <c r="C689" t="s">
        <v>1689</v>
      </c>
      <c r="D689">
        <v>28.54</v>
      </c>
      <c r="E689">
        <v>16.34</v>
      </c>
      <c r="F689">
        <v>65.91</v>
      </c>
      <c r="G689">
        <v>82.71</v>
      </c>
      <c r="H689">
        <v>0</v>
      </c>
      <c r="I689">
        <v>1.72</v>
      </c>
      <c r="J689">
        <v>0</v>
      </c>
      <c r="K689" t="s">
        <v>1646</v>
      </c>
      <c r="L689">
        <v>210</v>
      </c>
      <c r="M689">
        <v>40</v>
      </c>
      <c r="N689" s="1">
        <f t="shared" si="20"/>
        <v>0.80952380952380953</v>
      </c>
      <c r="O689" s="1">
        <f t="shared" si="21"/>
        <v>0.19047619047619047</v>
      </c>
    </row>
    <row r="690" spans="1:15" x14ac:dyDescent="0.25">
      <c r="A690" t="s">
        <v>1690</v>
      </c>
      <c r="B690" t="s">
        <v>1691</v>
      </c>
      <c r="C690" t="s">
        <v>1692</v>
      </c>
      <c r="D690">
        <v>28.33</v>
      </c>
      <c r="E690">
        <v>13.59</v>
      </c>
      <c r="F690">
        <v>65.36</v>
      </c>
      <c r="G690">
        <v>67</v>
      </c>
      <c r="H690">
        <v>0</v>
      </c>
      <c r="I690">
        <v>1.5</v>
      </c>
      <c r="J690">
        <v>0</v>
      </c>
      <c r="K690" t="s">
        <v>1646</v>
      </c>
      <c r="L690">
        <v>210</v>
      </c>
      <c r="M690">
        <v>40</v>
      </c>
      <c r="N690" s="1">
        <f t="shared" si="20"/>
        <v>0.80952380952380953</v>
      </c>
      <c r="O690" s="1">
        <f t="shared" si="21"/>
        <v>0.19047619047619047</v>
      </c>
    </row>
    <row r="691" spans="1:15" x14ac:dyDescent="0.25">
      <c r="A691" t="s">
        <v>1693</v>
      </c>
      <c r="B691" t="s">
        <v>1694</v>
      </c>
      <c r="C691" t="s">
        <v>1695</v>
      </c>
      <c r="D691">
        <v>28.18</v>
      </c>
      <c r="E691">
        <v>13.67</v>
      </c>
      <c r="F691">
        <v>64.97</v>
      </c>
      <c r="G691">
        <v>66.94</v>
      </c>
      <c r="H691">
        <v>0</v>
      </c>
      <c r="I691">
        <v>0.99</v>
      </c>
      <c r="J691">
        <v>0</v>
      </c>
      <c r="K691" t="s">
        <v>1646</v>
      </c>
      <c r="L691">
        <v>210</v>
      </c>
      <c r="M691">
        <v>40</v>
      </c>
      <c r="N691" s="1">
        <f t="shared" si="20"/>
        <v>0.80952380952380953</v>
      </c>
      <c r="O691" s="1">
        <f t="shared" si="21"/>
        <v>0.19047619047619047</v>
      </c>
    </row>
    <row r="692" spans="1:15" x14ac:dyDescent="0.25">
      <c r="A692" t="s">
        <v>1696</v>
      </c>
      <c r="B692" t="s">
        <v>1697</v>
      </c>
      <c r="C692" t="s">
        <v>1698</v>
      </c>
      <c r="D692">
        <v>27.6</v>
      </c>
      <c r="E692">
        <v>8.56</v>
      </c>
      <c r="F692">
        <v>63.47</v>
      </c>
      <c r="G692">
        <v>86.23</v>
      </c>
      <c r="H692">
        <v>0</v>
      </c>
      <c r="I692">
        <v>1.77</v>
      </c>
      <c r="J692">
        <v>6.58</v>
      </c>
      <c r="K692" t="s">
        <v>1646</v>
      </c>
      <c r="L692">
        <v>210</v>
      </c>
      <c r="M692">
        <v>42</v>
      </c>
      <c r="N692" s="1">
        <f t="shared" si="20"/>
        <v>0.8</v>
      </c>
      <c r="O692" s="1">
        <f t="shared" si="21"/>
        <v>0.2</v>
      </c>
    </row>
    <row r="693" spans="1:15" x14ac:dyDescent="0.25">
      <c r="A693" t="s">
        <v>1699</v>
      </c>
      <c r="B693" t="s">
        <v>1700</v>
      </c>
      <c r="C693" t="s">
        <v>1701</v>
      </c>
      <c r="D693">
        <v>27.59</v>
      </c>
      <c r="E693">
        <v>8.6199999999999992</v>
      </c>
      <c r="F693">
        <v>63.44</v>
      </c>
      <c r="G693">
        <v>76.400000000000006</v>
      </c>
      <c r="H693">
        <v>12.65</v>
      </c>
      <c r="I693">
        <v>1</v>
      </c>
      <c r="J693">
        <v>0</v>
      </c>
      <c r="K693" t="s">
        <v>1646</v>
      </c>
      <c r="L693">
        <v>210</v>
      </c>
      <c r="M693">
        <v>42</v>
      </c>
      <c r="N693" s="1">
        <f t="shared" si="20"/>
        <v>0.8</v>
      </c>
      <c r="O693" s="1">
        <f t="shared" si="21"/>
        <v>0.2</v>
      </c>
    </row>
    <row r="694" spans="1:15" x14ac:dyDescent="0.25">
      <c r="A694" t="s">
        <v>1702</v>
      </c>
      <c r="B694" t="s">
        <v>1703</v>
      </c>
      <c r="C694" t="s">
        <v>1704</v>
      </c>
      <c r="D694">
        <v>27.08</v>
      </c>
      <c r="E694">
        <v>15.07</v>
      </c>
      <c r="F694">
        <v>62.13</v>
      </c>
      <c r="G694">
        <v>72.010000000000005</v>
      </c>
      <c r="H694">
        <v>0</v>
      </c>
      <c r="I694">
        <v>1.0900000000000001</v>
      </c>
      <c r="J694">
        <v>1.1299999999999999</v>
      </c>
      <c r="K694" t="s">
        <v>1646</v>
      </c>
      <c r="L694">
        <v>210</v>
      </c>
      <c r="M694">
        <v>43</v>
      </c>
      <c r="N694" s="1">
        <f t="shared" si="20"/>
        <v>0.7952380952380953</v>
      </c>
      <c r="O694" s="1">
        <f t="shared" si="21"/>
        <v>0.20476190476190476</v>
      </c>
    </row>
    <row r="695" spans="1:15" x14ac:dyDescent="0.25">
      <c r="A695" t="s">
        <v>1705</v>
      </c>
      <c r="B695" t="s">
        <v>1706</v>
      </c>
      <c r="C695" t="s">
        <v>1707</v>
      </c>
      <c r="D695">
        <v>26.46</v>
      </c>
      <c r="E695">
        <v>6.63</v>
      </c>
      <c r="F695">
        <v>60.55</v>
      </c>
      <c r="G695">
        <v>73.16</v>
      </c>
      <c r="H695">
        <v>0</v>
      </c>
      <c r="I695">
        <v>4.99</v>
      </c>
      <c r="J695">
        <v>7.13</v>
      </c>
      <c r="K695" t="s">
        <v>1646</v>
      </c>
      <c r="L695">
        <v>210</v>
      </c>
      <c r="M695">
        <v>44</v>
      </c>
      <c r="N695" s="1">
        <f t="shared" si="20"/>
        <v>0.79047619047619044</v>
      </c>
      <c r="O695" s="1">
        <f t="shared" si="21"/>
        <v>0.20952380952380953</v>
      </c>
    </row>
    <row r="696" spans="1:15" x14ac:dyDescent="0.25">
      <c r="A696" t="s">
        <v>1708</v>
      </c>
      <c r="B696" t="s">
        <v>1709</v>
      </c>
      <c r="C696" t="s">
        <v>1710</v>
      </c>
      <c r="D696">
        <v>25.33</v>
      </c>
      <c r="E696">
        <v>6.87</v>
      </c>
      <c r="F696">
        <v>57.67</v>
      </c>
      <c r="G696">
        <v>94</v>
      </c>
      <c r="H696">
        <v>0</v>
      </c>
      <c r="I696">
        <v>2</v>
      </c>
      <c r="J696">
        <v>8</v>
      </c>
      <c r="K696" t="s">
        <v>1646</v>
      </c>
      <c r="L696">
        <v>210</v>
      </c>
      <c r="M696">
        <v>47</v>
      </c>
      <c r="N696" s="1">
        <f t="shared" si="20"/>
        <v>0.77619047619047621</v>
      </c>
      <c r="O696" s="1">
        <f t="shared" si="21"/>
        <v>0.22380952380952382</v>
      </c>
    </row>
    <row r="697" spans="1:15" x14ac:dyDescent="0.25">
      <c r="A697" t="s">
        <v>1711</v>
      </c>
      <c r="B697" t="s">
        <v>1712</v>
      </c>
      <c r="C697" t="s">
        <v>1713</v>
      </c>
      <c r="D697">
        <v>25.11</v>
      </c>
      <c r="E697">
        <v>15.08</v>
      </c>
      <c r="F697">
        <v>57.11</v>
      </c>
      <c r="G697">
        <v>68.900000000000006</v>
      </c>
      <c r="H697">
        <v>0</v>
      </c>
      <c r="I697">
        <v>1.5</v>
      </c>
      <c r="J697">
        <v>0</v>
      </c>
      <c r="K697" t="s">
        <v>1646</v>
      </c>
      <c r="L697">
        <v>210</v>
      </c>
      <c r="M697">
        <v>49</v>
      </c>
      <c r="N697" s="1">
        <f t="shared" si="20"/>
        <v>0.76666666666666661</v>
      </c>
      <c r="O697" s="1">
        <f t="shared" si="21"/>
        <v>0.23333333333333334</v>
      </c>
    </row>
    <row r="698" spans="1:15" x14ac:dyDescent="0.25">
      <c r="A698" t="s">
        <v>1714</v>
      </c>
      <c r="B698" t="s">
        <v>1715</v>
      </c>
      <c r="C698" t="s">
        <v>1716</v>
      </c>
      <c r="D698">
        <v>25.04</v>
      </c>
      <c r="E698">
        <v>14.32</v>
      </c>
      <c r="F698">
        <v>56.93</v>
      </c>
      <c r="G698">
        <v>61.18</v>
      </c>
      <c r="H698">
        <v>0</v>
      </c>
      <c r="I698">
        <v>1</v>
      </c>
      <c r="J698">
        <v>0</v>
      </c>
      <c r="K698" t="s">
        <v>1646</v>
      </c>
      <c r="L698">
        <v>210</v>
      </c>
      <c r="M698">
        <v>50</v>
      </c>
      <c r="N698" s="1">
        <f t="shared" si="20"/>
        <v>0.76190476190476186</v>
      </c>
      <c r="O698" s="1">
        <f t="shared" si="21"/>
        <v>0.23809523809523808</v>
      </c>
    </row>
    <row r="699" spans="1:15" x14ac:dyDescent="0.25">
      <c r="A699" t="s">
        <v>1717</v>
      </c>
      <c r="B699" t="s">
        <v>1718</v>
      </c>
      <c r="C699" t="s">
        <v>1704</v>
      </c>
      <c r="D699">
        <v>24.93</v>
      </c>
      <c r="E699">
        <v>15.06</v>
      </c>
      <c r="F699">
        <v>56.64</v>
      </c>
      <c r="G699">
        <v>68.900000000000006</v>
      </c>
      <c r="H699">
        <v>0</v>
      </c>
      <c r="I699">
        <v>1.5</v>
      </c>
      <c r="J699">
        <v>0</v>
      </c>
      <c r="K699" t="s">
        <v>1646</v>
      </c>
      <c r="L699">
        <v>210</v>
      </c>
      <c r="M699">
        <v>50</v>
      </c>
      <c r="N699" s="1">
        <f t="shared" si="20"/>
        <v>0.76190476190476186</v>
      </c>
      <c r="O699" s="1">
        <f t="shared" si="21"/>
        <v>0.23809523809523808</v>
      </c>
    </row>
    <row r="700" spans="1:15" x14ac:dyDescent="0.25">
      <c r="A700" t="s">
        <v>1719</v>
      </c>
      <c r="B700" t="s">
        <v>1720</v>
      </c>
      <c r="C700" t="s">
        <v>1721</v>
      </c>
      <c r="D700">
        <v>24.89</v>
      </c>
      <c r="E700">
        <v>14.33</v>
      </c>
      <c r="F700">
        <v>56.55</v>
      </c>
      <c r="G700">
        <v>60.95</v>
      </c>
      <c r="H700">
        <v>0</v>
      </c>
      <c r="I700">
        <v>1</v>
      </c>
      <c r="J700">
        <v>0</v>
      </c>
      <c r="K700" t="s">
        <v>1646</v>
      </c>
      <c r="L700">
        <v>210</v>
      </c>
      <c r="M700">
        <v>50</v>
      </c>
      <c r="N700" s="1">
        <f t="shared" si="20"/>
        <v>0.76190476190476186</v>
      </c>
      <c r="O700" s="1">
        <f t="shared" si="21"/>
        <v>0.23809523809523808</v>
      </c>
    </row>
    <row r="701" spans="1:15" x14ac:dyDescent="0.25">
      <c r="A701" t="s">
        <v>1722</v>
      </c>
      <c r="B701" t="s">
        <v>1723</v>
      </c>
      <c r="C701" t="s">
        <v>17</v>
      </c>
      <c r="D701">
        <v>24.8</v>
      </c>
      <c r="E701">
        <v>0</v>
      </c>
      <c r="F701">
        <v>56.33</v>
      </c>
      <c r="G701">
        <v>82.48</v>
      </c>
      <c r="H701">
        <v>0</v>
      </c>
      <c r="I701">
        <v>0.97</v>
      </c>
      <c r="J701">
        <v>0</v>
      </c>
      <c r="K701" t="s">
        <v>1646</v>
      </c>
      <c r="L701">
        <v>210</v>
      </c>
      <c r="M701">
        <v>50</v>
      </c>
      <c r="N701" s="1">
        <f t="shared" si="20"/>
        <v>0.76190476190476186</v>
      </c>
      <c r="O701" s="1">
        <f t="shared" si="21"/>
        <v>0.23809523809523808</v>
      </c>
    </row>
    <row r="702" spans="1:15" x14ac:dyDescent="0.25">
      <c r="A702" t="s">
        <v>1724</v>
      </c>
      <c r="B702" t="s">
        <v>1725</v>
      </c>
      <c r="C702" t="s">
        <v>24</v>
      </c>
      <c r="D702">
        <v>24.77</v>
      </c>
      <c r="E702">
        <v>8.4700000000000006</v>
      </c>
      <c r="F702">
        <v>56.24</v>
      </c>
      <c r="G702">
        <v>76</v>
      </c>
      <c r="H702">
        <v>0</v>
      </c>
      <c r="I702">
        <v>4</v>
      </c>
      <c r="J702">
        <v>0</v>
      </c>
      <c r="K702" t="s">
        <v>1646</v>
      </c>
      <c r="L702">
        <v>210</v>
      </c>
      <c r="M702">
        <v>50</v>
      </c>
      <c r="N702" s="1">
        <f t="shared" si="20"/>
        <v>0.76190476190476186</v>
      </c>
      <c r="O702" s="1">
        <f t="shared" si="21"/>
        <v>0.23809523809523808</v>
      </c>
    </row>
    <row r="703" spans="1:15" x14ac:dyDescent="0.25">
      <c r="A703" t="s">
        <v>1726</v>
      </c>
      <c r="B703" t="s">
        <v>1727</v>
      </c>
      <c r="C703" t="s">
        <v>1728</v>
      </c>
      <c r="D703">
        <v>24.63</v>
      </c>
      <c r="E703">
        <v>12.13</v>
      </c>
      <c r="F703">
        <v>55.89</v>
      </c>
      <c r="G703">
        <v>68.27</v>
      </c>
      <c r="H703">
        <v>0</v>
      </c>
      <c r="I703">
        <v>1.06</v>
      </c>
      <c r="J703">
        <v>0</v>
      </c>
      <c r="K703" t="s">
        <v>1646</v>
      </c>
      <c r="L703">
        <v>210</v>
      </c>
      <c r="M703">
        <v>50</v>
      </c>
      <c r="N703" s="1">
        <f t="shared" si="20"/>
        <v>0.76190476190476186</v>
      </c>
      <c r="O703" s="1">
        <f t="shared" si="21"/>
        <v>0.23809523809523808</v>
      </c>
    </row>
    <row r="704" spans="1:15" x14ac:dyDescent="0.25">
      <c r="A704" t="s">
        <v>1729</v>
      </c>
      <c r="B704" t="s">
        <v>1730</v>
      </c>
      <c r="C704" t="s">
        <v>1731</v>
      </c>
      <c r="D704">
        <v>22.9</v>
      </c>
      <c r="E704">
        <v>6.39</v>
      </c>
      <c r="F704">
        <v>51.57</v>
      </c>
      <c r="G704">
        <v>83</v>
      </c>
      <c r="H704">
        <v>0</v>
      </c>
      <c r="I704">
        <v>1</v>
      </c>
      <c r="J704">
        <v>0</v>
      </c>
      <c r="K704" t="s">
        <v>1646</v>
      </c>
      <c r="L704">
        <v>210</v>
      </c>
      <c r="M704">
        <v>61</v>
      </c>
      <c r="N704" s="1">
        <f t="shared" si="20"/>
        <v>0.70952380952380945</v>
      </c>
      <c r="O704" s="1">
        <f t="shared" si="21"/>
        <v>0.2904761904761905</v>
      </c>
    </row>
    <row r="705" spans="1:15" x14ac:dyDescent="0.25">
      <c r="A705" t="s">
        <v>1732</v>
      </c>
      <c r="B705" t="s">
        <v>1733</v>
      </c>
      <c r="C705" t="s">
        <v>1734</v>
      </c>
      <c r="D705">
        <v>21.33</v>
      </c>
      <c r="E705">
        <v>6.56</v>
      </c>
      <c r="F705">
        <v>47.68</v>
      </c>
      <c r="G705">
        <v>98</v>
      </c>
      <c r="H705">
        <v>0</v>
      </c>
      <c r="I705">
        <v>2</v>
      </c>
      <c r="J705">
        <v>0</v>
      </c>
      <c r="K705" t="s">
        <v>1646</v>
      </c>
      <c r="L705">
        <v>210</v>
      </c>
      <c r="M705">
        <v>72</v>
      </c>
      <c r="N705" s="1">
        <f t="shared" si="20"/>
        <v>0.65714285714285714</v>
      </c>
      <c r="O705" s="1">
        <f t="shared" si="21"/>
        <v>0.34285714285714286</v>
      </c>
    </row>
    <row r="706" spans="1:15" x14ac:dyDescent="0.25">
      <c r="A706" t="s">
        <v>1735</v>
      </c>
      <c r="B706" t="s">
        <v>1736</v>
      </c>
      <c r="C706" t="s">
        <v>1737</v>
      </c>
      <c r="D706">
        <v>21.25</v>
      </c>
      <c r="E706">
        <v>6.58</v>
      </c>
      <c r="F706">
        <v>47.49</v>
      </c>
      <c r="G706">
        <v>72.64</v>
      </c>
      <c r="H706">
        <v>0</v>
      </c>
      <c r="I706">
        <v>3.26</v>
      </c>
      <c r="J706">
        <v>8</v>
      </c>
      <c r="K706" t="s">
        <v>1646</v>
      </c>
      <c r="L706">
        <v>210</v>
      </c>
      <c r="M706">
        <v>73</v>
      </c>
      <c r="N706" s="1">
        <f t="shared" ref="N706:N769" si="22">1-O706</f>
        <v>0.65238095238095239</v>
      </c>
      <c r="O706" s="1">
        <f t="shared" ref="O706:O769" si="23">M706/L706</f>
        <v>0.34761904761904761</v>
      </c>
    </row>
    <row r="707" spans="1:15" x14ac:dyDescent="0.25">
      <c r="A707" t="s">
        <v>1738</v>
      </c>
      <c r="B707" t="s">
        <v>1739</v>
      </c>
      <c r="C707" t="s">
        <v>1740</v>
      </c>
      <c r="D707">
        <v>20.94</v>
      </c>
      <c r="E707">
        <v>5.73</v>
      </c>
      <c r="F707">
        <v>46.71</v>
      </c>
      <c r="G707">
        <v>74.3</v>
      </c>
      <c r="H707">
        <v>0</v>
      </c>
      <c r="I707">
        <v>1.86</v>
      </c>
      <c r="J707">
        <v>0</v>
      </c>
      <c r="K707" t="s">
        <v>1646</v>
      </c>
      <c r="L707">
        <v>210</v>
      </c>
      <c r="M707">
        <v>75</v>
      </c>
      <c r="N707" s="1">
        <f t="shared" si="22"/>
        <v>0.64285714285714279</v>
      </c>
      <c r="O707" s="1">
        <f t="shared" si="23"/>
        <v>0.35714285714285715</v>
      </c>
    </row>
    <row r="708" spans="1:15" x14ac:dyDescent="0.25">
      <c r="A708" t="s">
        <v>1741</v>
      </c>
      <c r="B708" t="s">
        <v>1742</v>
      </c>
      <c r="C708" t="s">
        <v>17</v>
      </c>
      <c r="D708">
        <v>20.2</v>
      </c>
      <c r="E708">
        <v>7.25</v>
      </c>
      <c r="F708">
        <v>44.92</v>
      </c>
      <c r="G708">
        <v>70.930000000000007</v>
      </c>
      <c r="H708">
        <v>0</v>
      </c>
      <c r="I708">
        <v>2.84</v>
      </c>
      <c r="J708">
        <v>5.32</v>
      </c>
      <c r="K708" t="s">
        <v>1646</v>
      </c>
      <c r="L708">
        <v>210</v>
      </c>
      <c r="M708">
        <v>76</v>
      </c>
      <c r="N708" s="1">
        <f t="shared" si="22"/>
        <v>0.63809523809523805</v>
      </c>
      <c r="O708" s="1">
        <f t="shared" si="23"/>
        <v>0.3619047619047619</v>
      </c>
    </row>
    <row r="709" spans="1:15" x14ac:dyDescent="0.25">
      <c r="A709" t="s">
        <v>1743</v>
      </c>
      <c r="B709" t="s">
        <v>1744</v>
      </c>
      <c r="C709" t="s">
        <v>1745</v>
      </c>
      <c r="D709">
        <v>20.12</v>
      </c>
      <c r="E709">
        <v>7.25</v>
      </c>
      <c r="F709">
        <v>44.74</v>
      </c>
      <c r="G709">
        <v>70.94</v>
      </c>
      <c r="H709">
        <v>0</v>
      </c>
      <c r="I709">
        <v>2.84</v>
      </c>
      <c r="J709">
        <v>5.32</v>
      </c>
      <c r="K709" t="s">
        <v>1646</v>
      </c>
      <c r="L709">
        <v>210</v>
      </c>
      <c r="M709">
        <v>76</v>
      </c>
      <c r="N709" s="1">
        <f t="shared" si="22"/>
        <v>0.63809523809523805</v>
      </c>
      <c r="O709" s="1">
        <f t="shared" si="23"/>
        <v>0.3619047619047619</v>
      </c>
    </row>
    <row r="710" spans="1:15" x14ac:dyDescent="0.25">
      <c r="A710" t="s">
        <v>1746</v>
      </c>
      <c r="B710" t="s">
        <v>1747</v>
      </c>
      <c r="C710" t="s">
        <v>1748</v>
      </c>
      <c r="D710">
        <v>19.850000000000001</v>
      </c>
      <c r="E710">
        <v>0</v>
      </c>
      <c r="F710">
        <v>44.06</v>
      </c>
      <c r="G710">
        <v>84.38</v>
      </c>
      <c r="H710">
        <v>0</v>
      </c>
      <c r="I710">
        <v>0.56999999999999995</v>
      </c>
      <c r="J710">
        <v>0</v>
      </c>
      <c r="K710" t="s">
        <v>1646</v>
      </c>
      <c r="L710">
        <v>210</v>
      </c>
      <c r="M710">
        <v>79</v>
      </c>
      <c r="N710" s="1">
        <f t="shared" si="22"/>
        <v>0.62380952380952381</v>
      </c>
      <c r="O710" s="1">
        <f t="shared" si="23"/>
        <v>0.37619047619047619</v>
      </c>
    </row>
    <row r="711" spans="1:15" x14ac:dyDescent="0.25">
      <c r="A711" t="s">
        <v>1749</v>
      </c>
      <c r="B711" t="s">
        <v>1750</v>
      </c>
      <c r="C711" t="s">
        <v>1748</v>
      </c>
      <c r="D711">
        <v>19.850000000000001</v>
      </c>
      <c r="E711">
        <v>0</v>
      </c>
      <c r="F711">
        <v>44.06</v>
      </c>
      <c r="G711">
        <v>84.38</v>
      </c>
      <c r="H711">
        <v>0</v>
      </c>
      <c r="I711">
        <v>0.56999999999999995</v>
      </c>
      <c r="J711">
        <v>0</v>
      </c>
      <c r="K711" t="s">
        <v>1646</v>
      </c>
      <c r="L711">
        <v>210</v>
      </c>
      <c r="M711">
        <v>79</v>
      </c>
      <c r="N711" s="1">
        <f t="shared" si="22"/>
        <v>0.62380952380952381</v>
      </c>
      <c r="O711" s="1">
        <f t="shared" si="23"/>
        <v>0.37619047619047619</v>
      </c>
    </row>
    <row r="712" spans="1:15" x14ac:dyDescent="0.25">
      <c r="A712" t="s">
        <v>1751</v>
      </c>
      <c r="B712" t="s">
        <v>1752</v>
      </c>
      <c r="C712" t="s">
        <v>1753</v>
      </c>
      <c r="D712">
        <v>19.809999999999999</v>
      </c>
      <c r="E712">
        <v>8.02</v>
      </c>
      <c r="F712">
        <v>43.96</v>
      </c>
      <c r="G712">
        <v>98.81</v>
      </c>
      <c r="H712">
        <v>0</v>
      </c>
      <c r="I712">
        <v>1.19</v>
      </c>
      <c r="J712">
        <v>0</v>
      </c>
      <c r="K712" t="s">
        <v>1646</v>
      </c>
      <c r="L712">
        <v>210</v>
      </c>
      <c r="M712">
        <v>79</v>
      </c>
      <c r="N712" s="1">
        <f t="shared" si="22"/>
        <v>0.62380952380952381</v>
      </c>
      <c r="O712" s="1">
        <f t="shared" si="23"/>
        <v>0.37619047619047619</v>
      </c>
    </row>
    <row r="713" spans="1:15" x14ac:dyDescent="0.25">
      <c r="A713" t="s">
        <v>1754</v>
      </c>
      <c r="B713" t="s">
        <v>1755</v>
      </c>
      <c r="C713" t="s">
        <v>1753</v>
      </c>
      <c r="D713">
        <v>19.809999999999999</v>
      </c>
      <c r="E713">
        <v>8.02</v>
      </c>
      <c r="F713">
        <v>43.96</v>
      </c>
      <c r="G713">
        <v>98.81</v>
      </c>
      <c r="H713">
        <v>0</v>
      </c>
      <c r="I713">
        <v>1.19</v>
      </c>
      <c r="J713">
        <v>0</v>
      </c>
      <c r="K713" t="s">
        <v>1646</v>
      </c>
      <c r="L713">
        <v>210</v>
      </c>
      <c r="M713">
        <v>79</v>
      </c>
      <c r="N713" s="1">
        <f t="shared" si="22"/>
        <v>0.62380952380952381</v>
      </c>
      <c r="O713" s="1">
        <f t="shared" si="23"/>
        <v>0.37619047619047619</v>
      </c>
    </row>
    <row r="714" spans="1:15" x14ac:dyDescent="0.25">
      <c r="A714" t="s">
        <v>1756</v>
      </c>
      <c r="B714" t="s">
        <v>1757</v>
      </c>
      <c r="C714" t="s">
        <v>1758</v>
      </c>
      <c r="D714">
        <v>19.22</v>
      </c>
      <c r="E714">
        <v>8.0299999999999994</v>
      </c>
      <c r="F714">
        <v>42.56</v>
      </c>
      <c r="G714">
        <v>72.63</v>
      </c>
      <c r="H714">
        <v>6.59</v>
      </c>
      <c r="I714">
        <v>2.2000000000000002</v>
      </c>
      <c r="J714">
        <v>0</v>
      </c>
      <c r="K714" t="s">
        <v>1646</v>
      </c>
      <c r="L714">
        <v>210</v>
      </c>
      <c r="M714">
        <v>79</v>
      </c>
      <c r="N714" s="1">
        <f t="shared" si="22"/>
        <v>0.62380952380952381</v>
      </c>
      <c r="O714" s="1">
        <f t="shared" si="23"/>
        <v>0.37619047619047619</v>
      </c>
    </row>
    <row r="715" spans="1:15" x14ac:dyDescent="0.25">
      <c r="A715" t="s">
        <v>1759</v>
      </c>
      <c r="B715" t="s">
        <v>1760</v>
      </c>
      <c r="C715" t="s">
        <v>24</v>
      </c>
      <c r="D715">
        <v>18.95</v>
      </c>
      <c r="E715">
        <v>8.4700000000000006</v>
      </c>
      <c r="F715">
        <v>41.9</v>
      </c>
      <c r="G715">
        <v>65.13</v>
      </c>
      <c r="H715">
        <v>0</v>
      </c>
      <c r="I715">
        <v>2.92</v>
      </c>
      <c r="J715">
        <v>0</v>
      </c>
      <c r="K715" t="s">
        <v>1646</v>
      </c>
      <c r="L715">
        <v>210</v>
      </c>
      <c r="M715">
        <v>79</v>
      </c>
      <c r="N715" s="1">
        <f t="shared" si="22"/>
        <v>0.62380952380952381</v>
      </c>
      <c r="O715" s="1">
        <f t="shared" si="23"/>
        <v>0.37619047619047619</v>
      </c>
    </row>
    <row r="716" spans="1:15" x14ac:dyDescent="0.25">
      <c r="A716" t="s">
        <v>1761</v>
      </c>
      <c r="B716" t="s">
        <v>1762</v>
      </c>
      <c r="C716" t="s">
        <v>1763</v>
      </c>
      <c r="D716">
        <v>18.920000000000002</v>
      </c>
      <c r="E716">
        <v>14.77</v>
      </c>
      <c r="F716">
        <v>41.84</v>
      </c>
      <c r="G716">
        <v>87</v>
      </c>
      <c r="H716">
        <v>0</v>
      </c>
      <c r="I716">
        <v>2</v>
      </c>
      <c r="J716">
        <v>0</v>
      </c>
      <c r="K716" t="s">
        <v>1646</v>
      </c>
      <c r="L716">
        <v>210</v>
      </c>
      <c r="M716">
        <v>79</v>
      </c>
      <c r="N716" s="1">
        <f t="shared" si="22"/>
        <v>0.62380952380952381</v>
      </c>
      <c r="O716" s="1">
        <f t="shared" si="23"/>
        <v>0.37619047619047619</v>
      </c>
    </row>
    <row r="717" spans="1:15" x14ac:dyDescent="0.25">
      <c r="A717" t="s">
        <v>1764</v>
      </c>
      <c r="B717" t="s">
        <v>1765</v>
      </c>
      <c r="C717" t="s">
        <v>1710</v>
      </c>
      <c r="D717">
        <v>18.88</v>
      </c>
      <c r="E717">
        <v>6.87</v>
      </c>
      <c r="F717">
        <v>41.74</v>
      </c>
      <c r="G717">
        <v>87</v>
      </c>
      <c r="H717">
        <v>0</v>
      </c>
      <c r="I717">
        <v>2</v>
      </c>
      <c r="J717">
        <v>0</v>
      </c>
      <c r="K717" t="s">
        <v>1646</v>
      </c>
      <c r="L717">
        <v>210</v>
      </c>
      <c r="M717">
        <v>79</v>
      </c>
      <c r="N717" s="1">
        <f t="shared" si="22"/>
        <v>0.62380952380952381</v>
      </c>
      <c r="O717" s="1">
        <f t="shared" si="23"/>
        <v>0.37619047619047619</v>
      </c>
    </row>
    <row r="718" spans="1:15" x14ac:dyDescent="0.25">
      <c r="A718" t="s">
        <v>1766</v>
      </c>
      <c r="B718" t="s">
        <v>1767</v>
      </c>
      <c r="C718" t="s">
        <v>1763</v>
      </c>
      <c r="D718">
        <v>18.45</v>
      </c>
      <c r="E718">
        <v>14.77</v>
      </c>
      <c r="F718">
        <v>40.71</v>
      </c>
      <c r="G718">
        <v>76.5</v>
      </c>
      <c r="H718">
        <v>0</v>
      </c>
      <c r="I718">
        <v>2</v>
      </c>
      <c r="J718">
        <v>0</v>
      </c>
      <c r="K718" t="s">
        <v>1646</v>
      </c>
      <c r="L718">
        <v>210</v>
      </c>
      <c r="M718">
        <v>80</v>
      </c>
      <c r="N718" s="1">
        <f t="shared" si="22"/>
        <v>0.61904761904761907</v>
      </c>
      <c r="O718" s="1">
        <f t="shared" si="23"/>
        <v>0.38095238095238093</v>
      </c>
    </row>
    <row r="719" spans="1:15" x14ac:dyDescent="0.25">
      <c r="A719" t="s">
        <v>1768</v>
      </c>
      <c r="B719" t="s">
        <v>1769</v>
      </c>
      <c r="C719" t="s">
        <v>1770</v>
      </c>
      <c r="D719">
        <v>18.32</v>
      </c>
      <c r="E719">
        <v>8.3699999999999992</v>
      </c>
      <c r="F719">
        <v>40.380000000000003</v>
      </c>
      <c r="G719">
        <v>98.71</v>
      </c>
      <c r="H719">
        <v>0</v>
      </c>
      <c r="I719">
        <v>1.3</v>
      </c>
      <c r="J719">
        <v>0</v>
      </c>
      <c r="K719" t="s">
        <v>1646</v>
      </c>
      <c r="L719">
        <v>210</v>
      </c>
      <c r="M719">
        <v>81</v>
      </c>
      <c r="N719" s="1">
        <f t="shared" si="22"/>
        <v>0.61428571428571432</v>
      </c>
      <c r="O719" s="1">
        <f t="shared" si="23"/>
        <v>0.38571428571428573</v>
      </c>
    </row>
    <row r="720" spans="1:15" x14ac:dyDescent="0.25">
      <c r="A720" t="s">
        <v>1771</v>
      </c>
      <c r="B720" t="s">
        <v>1772</v>
      </c>
      <c r="C720" t="s">
        <v>1773</v>
      </c>
      <c r="D720">
        <v>18.309999999999999</v>
      </c>
      <c r="E720">
        <v>0</v>
      </c>
      <c r="F720">
        <v>40.36</v>
      </c>
      <c r="G720">
        <v>60.49</v>
      </c>
      <c r="H720">
        <v>0</v>
      </c>
      <c r="I720">
        <v>0.65</v>
      </c>
      <c r="J720">
        <v>0</v>
      </c>
      <c r="K720" t="s">
        <v>1646</v>
      </c>
      <c r="L720">
        <v>210</v>
      </c>
      <c r="M720">
        <v>81</v>
      </c>
      <c r="N720" s="1">
        <f t="shared" si="22"/>
        <v>0.61428571428571432</v>
      </c>
      <c r="O720" s="1">
        <f t="shared" si="23"/>
        <v>0.38571428571428573</v>
      </c>
    </row>
    <row r="721" spans="1:15" x14ac:dyDescent="0.25">
      <c r="A721" t="s">
        <v>1774</v>
      </c>
      <c r="B721" t="s">
        <v>1775</v>
      </c>
      <c r="C721" t="s">
        <v>1776</v>
      </c>
      <c r="D721">
        <v>17.850000000000001</v>
      </c>
      <c r="E721">
        <v>8.98</v>
      </c>
      <c r="F721">
        <v>39.26</v>
      </c>
      <c r="G721">
        <v>69.14</v>
      </c>
      <c r="H721">
        <v>0</v>
      </c>
      <c r="I721">
        <v>1</v>
      </c>
      <c r="J721">
        <v>7.09</v>
      </c>
      <c r="K721" t="s">
        <v>1646</v>
      </c>
      <c r="L721">
        <v>210</v>
      </c>
      <c r="M721">
        <v>82</v>
      </c>
      <c r="N721" s="1">
        <f t="shared" si="22"/>
        <v>0.60952380952380958</v>
      </c>
      <c r="O721" s="1">
        <f t="shared" si="23"/>
        <v>0.39047619047619048</v>
      </c>
    </row>
    <row r="722" spans="1:15" x14ac:dyDescent="0.25">
      <c r="A722" t="s">
        <v>1777</v>
      </c>
      <c r="B722" t="s">
        <v>1778</v>
      </c>
      <c r="C722" t="s">
        <v>1779</v>
      </c>
      <c r="D722">
        <v>17.739999999999998</v>
      </c>
      <c r="E722">
        <v>10.63</v>
      </c>
      <c r="F722">
        <v>38.99</v>
      </c>
      <c r="G722">
        <v>72.86</v>
      </c>
      <c r="H722">
        <v>0</v>
      </c>
      <c r="I722">
        <v>1.8</v>
      </c>
      <c r="J722">
        <v>0</v>
      </c>
      <c r="K722" t="s">
        <v>1646</v>
      </c>
      <c r="L722">
        <v>210</v>
      </c>
      <c r="M722">
        <v>83</v>
      </c>
      <c r="N722" s="1">
        <f t="shared" si="22"/>
        <v>0.60476190476190483</v>
      </c>
      <c r="O722" s="1">
        <f t="shared" si="23"/>
        <v>0.39523809523809522</v>
      </c>
    </row>
    <row r="723" spans="1:15" x14ac:dyDescent="0.25">
      <c r="A723" t="s">
        <v>1780</v>
      </c>
      <c r="B723" t="s">
        <v>1781</v>
      </c>
      <c r="C723" t="s">
        <v>1782</v>
      </c>
      <c r="D723">
        <v>17.7</v>
      </c>
      <c r="E723">
        <v>6.55</v>
      </c>
      <c r="F723">
        <v>38.92</v>
      </c>
      <c r="G723">
        <v>82.4</v>
      </c>
      <c r="H723">
        <v>0</v>
      </c>
      <c r="I723">
        <v>0.9</v>
      </c>
      <c r="J723">
        <v>4.9400000000000004</v>
      </c>
      <c r="K723" t="s">
        <v>1646</v>
      </c>
      <c r="L723">
        <v>210</v>
      </c>
      <c r="M723">
        <v>83</v>
      </c>
      <c r="N723" s="1">
        <f t="shared" si="22"/>
        <v>0.60476190476190483</v>
      </c>
      <c r="O723" s="1">
        <f t="shared" si="23"/>
        <v>0.39523809523809522</v>
      </c>
    </row>
    <row r="724" spans="1:15" x14ac:dyDescent="0.25">
      <c r="A724" t="s">
        <v>1783</v>
      </c>
      <c r="B724" t="s">
        <v>1784</v>
      </c>
      <c r="D724">
        <v>17.649999999999999</v>
      </c>
      <c r="F724">
        <v>38.78</v>
      </c>
      <c r="G724">
        <v>95</v>
      </c>
      <c r="H724">
        <v>0</v>
      </c>
      <c r="I724">
        <v>5</v>
      </c>
      <c r="J724">
        <v>0</v>
      </c>
      <c r="K724" t="s">
        <v>1646</v>
      </c>
      <c r="L724">
        <v>210</v>
      </c>
      <c r="M724">
        <v>83</v>
      </c>
      <c r="N724" s="1">
        <f t="shared" si="22"/>
        <v>0.60476190476190483</v>
      </c>
      <c r="O724" s="1">
        <f t="shared" si="23"/>
        <v>0.39523809523809522</v>
      </c>
    </row>
    <row r="725" spans="1:15" x14ac:dyDescent="0.25">
      <c r="A725" t="s">
        <v>1785</v>
      </c>
      <c r="B725" t="s">
        <v>1786</v>
      </c>
      <c r="C725" t="s">
        <v>1787</v>
      </c>
      <c r="D725">
        <v>17.61</v>
      </c>
      <c r="E725">
        <v>15.22</v>
      </c>
      <c r="F725">
        <v>38.69</v>
      </c>
      <c r="G725">
        <v>84.9</v>
      </c>
      <c r="H725">
        <v>0</v>
      </c>
      <c r="I725">
        <v>2</v>
      </c>
      <c r="J725">
        <v>0</v>
      </c>
      <c r="K725" t="s">
        <v>1646</v>
      </c>
      <c r="L725">
        <v>210</v>
      </c>
      <c r="M725">
        <v>83</v>
      </c>
      <c r="N725" s="1">
        <f t="shared" si="22"/>
        <v>0.60476190476190483</v>
      </c>
      <c r="O725" s="1">
        <f t="shared" si="23"/>
        <v>0.39523809523809522</v>
      </c>
    </row>
    <row r="726" spans="1:15" x14ac:dyDescent="0.25">
      <c r="A726" t="s">
        <v>1788</v>
      </c>
      <c r="B726" t="s">
        <v>1789</v>
      </c>
      <c r="C726" t="s">
        <v>1681</v>
      </c>
      <c r="D726">
        <v>17.41</v>
      </c>
      <c r="E726">
        <v>8.93</v>
      </c>
      <c r="F726">
        <v>38.22</v>
      </c>
      <c r="G726">
        <v>98.58</v>
      </c>
      <c r="H726">
        <v>0</v>
      </c>
      <c r="I726">
        <v>1.43</v>
      </c>
      <c r="J726">
        <v>0</v>
      </c>
      <c r="K726" t="s">
        <v>1646</v>
      </c>
      <c r="L726">
        <v>210</v>
      </c>
      <c r="M726">
        <v>83</v>
      </c>
      <c r="N726" s="1">
        <f t="shared" si="22"/>
        <v>0.60476190476190483</v>
      </c>
      <c r="O726" s="1">
        <f t="shared" si="23"/>
        <v>0.39523809523809522</v>
      </c>
    </row>
    <row r="727" spans="1:15" x14ac:dyDescent="0.25">
      <c r="A727" t="s">
        <v>1790</v>
      </c>
      <c r="B727" t="s">
        <v>1791</v>
      </c>
      <c r="C727" t="s">
        <v>1792</v>
      </c>
      <c r="D727">
        <v>17.32</v>
      </c>
      <c r="E727">
        <v>13.7</v>
      </c>
      <c r="F727">
        <v>38.01</v>
      </c>
      <c r="G727">
        <v>98</v>
      </c>
      <c r="H727">
        <v>0</v>
      </c>
      <c r="I727">
        <v>2</v>
      </c>
      <c r="J727">
        <v>0</v>
      </c>
      <c r="K727" t="s">
        <v>1646</v>
      </c>
      <c r="L727">
        <v>210</v>
      </c>
      <c r="M727">
        <v>83</v>
      </c>
      <c r="N727" s="1">
        <f t="shared" si="22"/>
        <v>0.60476190476190483</v>
      </c>
      <c r="O727" s="1">
        <f t="shared" si="23"/>
        <v>0.39523809523809522</v>
      </c>
    </row>
    <row r="728" spans="1:15" x14ac:dyDescent="0.25">
      <c r="A728" t="s">
        <v>1793</v>
      </c>
      <c r="B728" t="s">
        <v>1794</v>
      </c>
      <c r="C728" t="s">
        <v>1795</v>
      </c>
      <c r="D728">
        <v>16.97</v>
      </c>
      <c r="E728">
        <v>6.2</v>
      </c>
      <c r="F728">
        <v>37.17</v>
      </c>
      <c r="G728">
        <v>70.17</v>
      </c>
      <c r="H728">
        <v>0</v>
      </c>
      <c r="I728">
        <v>0.97</v>
      </c>
      <c r="J728">
        <v>2.23</v>
      </c>
      <c r="K728" t="s">
        <v>1646</v>
      </c>
      <c r="L728">
        <v>210</v>
      </c>
      <c r="M728">
        <v>85</v>
      </c>
      <c r="N728" s="1">
        <f t="shared" si="22"/>
        <v>0.59523809523809523</v>
      </c>
      <c r="O728" s="1">
        <f t="shared" si="23"/>
        <v>0.40476190476190477</v>
      </c>
    </row>
    <row r="729" spans="1:15" x14ac:dyDescent="0.25">
      <c r="A729" t="s">
        <v>1796</v>
      </c>
      <c r="B729" t="s">
        <v>1797</v>
      </c>
      <c r="C729" t="s">
        <v>1798</v>
      </c>
      <c r="D729">
        <v>16.97</v>
      </c>
      <c r="E729">
        <v>12.33</v>
      </c>
      <c r="F729">
        <v>37.18</v>
      </c>
      <c r="G729">
        <v>87</v>
      </c>
      <c r="H729">
        <v>0</v>
      </c>
      <c r="I729">
        <v>1.94</v>
      </c>
      <c r="J729">
        <v>0</v>
      </c>
      <c r="K729" t="s">
        <v>1646</v>
      </c>
      <c r="L729">
        <v>210</v>
      </c>
      <c r="M729">
        <v>85</v>
      </c>
      <c r="N729" s="1">
        <f t="shared" si="22"/>
        <v>0.59523809523809523</v>
      </c>
      <c r="O729" s="1">
        <f t="shared" si="23"/>
        <v>0.40476190476190477</v>
      </c>
    </row>
    <row r="730" spans="1:15" x14ac:dyDescent="0.25">
      <c r="A730" t="s">
        <v>1799</v>
      </c>
      <c r="B730" t="s">
        <v>1800</v>
      </c>
      <c r="D730">
        <v>16.25</v>
      </c>
      <c r="F730">
        <v>35.49</v>
      </c>
      <c r="G730">
        <v>77.13</v>
      </c>
      <c r="H730">
        <v>3.97</v>
      </c>
      <c r="I730">
        <v>1.98</v>
      </c>
      <c r="J730">
        <v>6</v>
      </c>
      <c r="K730" t="s">
        <v>1646</v>
      </c>
      <c r="L730">
        <v>210</v>
      </c>
      <c r="M730">
        <v>88</v>
      </c>
      <c r="N730" s="1">
        <f t="shared" si="22"/>
        <v>0.58095238095238089</v>
      </c>
      <c r="O730" s="1">
        <f t="shared" si="23"/>
        <v>0.41904761904761906</v>
      </c>
    </row>
    <row r="731" spans="1:15" x14ac:dyDescent="0.25">
      <c r="A731" t="s">
        <v>1801</v>
      </c>
      <c r="B731" t="s">
        <v>1802</v>
      </c>
      <c r="C731" t="s">
        <v>1803</v>
      </c>
      <c r="D731">
        <v>16.21</v>
      </c>
      <c r="E731">
        <v>7.8</v>
      </c>
      <c r="F731">
        <v>35.380000000000003</v>
      </c>
      <c r="G731">
        <v>78.52</v>
      </c>
      <c r="H731">
        <v>2.98</v>
      </c>
      <c r="I731">
        <v>1.47</v>
      </c>
      <c r="J731">
        <v>4.16</v>
      </c>
      <c r="K731" t="s">
        <v>1646</v>
      </c>
      <c r="L731">
        <v>210</v>
      </c>
      <c r="M731">
        <v>89</v>
      </c>
      <c r="N731" s="1">
        <f t="shared" si="22"/>
        <v>0.57619047619047614</v>
      </c>
      <c r="O731" s="1">
        <f t="shared" si="23"/>
        <v>0.4238095238095238</v>
      </c>
    </row>
    <row r="732" spans="1:15" x14ac:dyDescent="0.25">
      <c r="A732" t="s">
        <v>1804</v>
      </c>
      <c r="B732" t="s">
        <v>1805</v>
      </c>
      <c r="C732" t="s">
        <v>1806</v>
      </c>
      <c r="D732">
        <v>15.23</v>
      </c>
      <c r="E732">
        <v>7.17</v>
      </c>
      <c r="F732">
        <v>33.090000000000003</v>
      </c>
      <c r="G732">
        <v>64.680000000000007</v>
      </c>
      <c r="H732">
        <v>24.74</v>
      </c>
      <c r="I732">
        <v>0.99</v>
      </c>
      <c r="J732">
        <v>0</v>
      </c>
      <c r="K732" t="s">
        <v>1646</v>
      </c>
      <c r="L732">
        <v>210</v>
      </c>
      <c r="M732">
        <v>100</v>
      </c>
      <c r="N732" s="1">
        <f t="shared" si="22"/>
        <v>0.52380952380952384</v>
      </c>
      <c r="O732" s="1">
        <f t="shared" si="23"/>
        <v>0.47619047619047616</v>
      </c>
    </row>
    <row r="733" spans="1:15" x14ac:dyDescent="0.25">
      <c r="A733" t="s">
        <v>1807</v>
      </c>
      <c r="B733" t="s">
        <v>1808</v>
      </c>
      <c r="C733" t="s">
        <v>1809</v>
      </c>
      <c r="D733">
        <v>14.89</v>
      </c>
      <c r="E733">
        <v>13.61</v>
      </c>
      <c r="F733">
        <v>32.299999999999997</v>
      </c>
      <c r="G733">
        <v>69.78</v>
      </c>
      <c r="H733">
        <v>4.84</v>
      </c>
      <c r="I733">
        <v>1.98</v>
      </c>
      <c r="J733">
        <v>5.54</v>
      </c>
      <c r="K733" t="s">
        <v>1646</v>
      </c>
      <c r="L733">
        <v>210</v>
      </c>
      <c r="M733">
        <v>103</v>
      </c>
      <c r="N733" s="1">
        <f t="shared" si="22"/>
        <v>0.50952380952380949</v>
      </c>
      <c r="O733" s="1">
        <f t="shared" si="23"/>
        <v>0.49047619047619045</v>
      </c>
    </row>
    <row r="734" spans="1:15" x14ac:dyDescent="0.25">
      <c r="A734" t="s">
        <v>1810</v>
      </c>
      <c r="B734" t="s">
        <v>1811</v>
      </c>
      <c r="C734" t="s">
        <v>1812</v>
      </c>
      <c r="D734">
        <v>14.8</v>
      </c>
      <c r="E734">
        <v>12.29</v>
      </c>
      <c r="F734">
        <v>32.1</v>
      </c>
      <c r="G734">
        <v>67.099999999999994</v>
      </c>
      <c r="H734">
        <v>17.66</v>
      </c>
      <c r="I734">
        <v>1.95</v>
      </c>
      <c r="J734">
        <v>0</v>
      </c>
      <c r="K734" t="s">
        <v>1646</v>
      </c>
      <c r="L734">
        <v>210</v>
      </c>
      <c r="M734">
        <v>103</v>
      </c>
      <c r="N734" s="1">
        <f t="shared" si="22"/>
        <v>0.50952380952380949</v>
      </c>
      <c r="O734" s="1">
        <f t="shared" si="23"/>
        <v>0.49047619047619045</v>
      </c>
    </row>
    <row r="735" spans="1:15" x14ac:dyDescent="0.25">
      <c r="A735" t="s">
        <v>1813</v>
      </c>
      <c r="B735" t="s">
        <v>1814</v>
      </c>
      <c r="C735" t="s">
        <v>1815</v>
      </c>
      <c r="D735">
        <v>14.57</v>
      </c>
      <c r="E735">
        <v>9.9</v>
      </c>
      <c r="F735">
        <v>31.55</v>
      </c>
      <c r="G735">
        <v>93.45</v>
      </c>
      <c r="H735">
        <v>0</v>
      </c>
      <c r="I735">
        <v>1.71</v>
      </c>
      <c r="J735">
        <v>9.39</v>
      </c>
      <c r="K735" t="s">
        <v>1646</v>
      </c>
      <c r="L735">
        <v>210</v>
      </c>
      <c r="M735">
        <v>106</v>
      </c>
      <c r="N735" s="1">
        <f t="shared" si="22"/>
        <v>0.49523809523809526</v>
      </c>
      <c r="O735" s="1">
        <f t="shared" si="23"/>
        <v>0.50476190476190474</v>
      </c>
    </row>
    <row r="736" spans="1:15" x14ac:dyDescent="0.25">
      <c r="A736" t="s">
        <v>1816</v>
      </c>
      <c r="B736" t="s">
        <v>1817</v>
      </c>
      <c r="D736">
        <v>14.39</v>
      </c>
      <c r="F736">
        <v>31.14</v>
      </c>
      <c r="G736">
        <v>95</v>
      </c>
      <c r="H736">
        <v>0</v>
      </c>
      <c r="I736">
        <v>5</v>
      </c>
      <c r="J736">
        <v>0</v>
      </c>
      <c r="K736" t="s">
        <v>1646</v>
      </c>
      <c r="L736">
        <v>210</v>
      </c>
      <c r="M736">
        <v>107</v>
      </c>
      <c r="N736" s="1">
        <f t="shared" si="22"/>
        <v>0.49047619047619051</v>
      </c>
      <c r="O736" s="1">
        <f t="shared" si="23"/>
        <v>0.50952380952380949</v>
      </c>
    </row>
    <row r="737" spans="1:15" x14ac:dyDescent="0.25">
      <c r="A737" t="s">
        <v>1818</v>
      </c>
      <c r="B737" t="s">
        <v>1819</v>
      </c>
      <c r="C737" t="s">
        <v>1820</v>
      </c>
      <c r="D737">
        <v>14.21</v>
      </c>
      <c r="E737">
        <v>9.7899999999999991</v>
      </c>
      <c r="F737">
        <v>30.72</v>
      </c>
      <c r="G737">
        <v>98</v>
      </c>
      <c r="H737">
        <v>0</v>
      </c>
      <c r="I737">
        <v>2</v>
      </c>
      <c r="J737">
        <v>0</v>
      </c>
      <c r="K737" t="s">
        <v>1646</v>
      </c>
      <c r="L737">
        <v>210</v>
      </c>
      <c r="M737">
        <v>108</v>
      </c>
      <c r="N737" s="1">
        <f t="shared" si="22"/>
        <v>0.48571428571428577</v>
      </c>
      <c r="O737" s="1">
        <f t="shared" si="23"/>
        <v>0.51428571428571423</v>
      </c>
    </row>
    <row r="738" spans="1:15" x14ac:dyDescent="0.25">
      <c r="A738" t="s">
        <v>1821</v>
      </c>
      <c r="B738" t="s">
        <v>1822</v>
      </c>
      <c r="C738" t="s">
        <v>1823</v>
      </c>
      <c r="D738">
        <v>14.21</v>
      </c>
      <c r="E738">
        <v>5.44</v>
      </c>
      <c r="F738">
        <v>30.73</v>
      </c>
      <c r="G738">
        <v>70</v>
      </c>
      <c r="H738">
        <v>19</v>
      </c>
      <c r="I738">
        <v>1</v>
      </c>
      <c r="J738">
        <v>3</v>
      </c>
      <c r="K738" t="s">
        <v>1646</v>
      </c>
      <c r="L738">
        <v>210</v>
      </c>
      <c r="M738">
        <v>108</v>
      </c>
      <c r="N738" s="1">
        <f t="shared" si="22"/>
        <v>0.48571428571428577</v>
      </c>
      <c r="O738" s="1">
        <f t="shared" si="23"/>
        <v>0.51428571428571423</v>
      </c>
    </row>
    <row r="739" spans="1:15" x14ac:dyDescent="0.25">
      <c r="A739" t="s">
        <v>1824</v>
      </c>
      <c r="B739" t="s">
        <v>1825</v>
      </c>
      <c r="C739" t="s">
        <v>1826</v>
      </c>
      <c r="D739">
        <v>14.04</v>
      </c>
      <c r="E739">
        <v>8.98</v>
      </c>
      <c r="F739">
        <v>30.33</v>
      </c>
      <c r="G739">
        <v>78.8</v>
      </c>
      <c r="H739">
        <v>0</v>
      </c>
      <c r="I739">
        <v>1.5</v>
      </c>
      <c r="J739">
        <v>0</v>
      </c>
      <c r="K739" t="s">
        <v>1646</v>
      </c>
      <c r="L739">
        <v>210</v>
      </c>
      <c r="M739">
        <v>108</v>
      </c>
      <c r="N739" s="1">
        <f t="shared" si="22"/>
        <v>0.48571428571428577</v>
      </c>
      <c r="O739" s="1">
        <f t="shared" si="23"/>
        <v>0.51428571428571423</v>
      </c>
    </row>
    <row r="740" spans="1:15" x14ac:dyDescent="0.25">
      <c r="A740" t="s">
        <v>1827</v>
      </c>
      <c r="B740" t="s">
        <v>1828</v>
      </c>
      <c r="C740" t="s">
        <v>1798</v>
      </c>
      <c r="D740">
        <v>13.92</v>
      </c>
      <c r="E740">
        <v>12.33</v>
      </c>
      <c r="F740">
        <v>30.06</v>
      </c>
      <c r="G740">
        <v>83.21</v>
      </c>
      <c r="H740">
        <v>0</v>
      </c>
      <c r="I740">
        <v>0.51</v>
      </c>
      <c r="J740">
        <v>0</v>
      </c>
      <c r="K740" t="s">
        <v>1646</v>
      </c>
      <c r="L740">
        <v>210</v>
      </c>
      <c r="M740">
        <v>108</v>
      </c>
      <c r="N740" s="1">
        <f t="shared" si="22"/>
        <v>0.48571428571428577</v>
      </c>
      <c r="O740" s="1">
        <f t="shared" si="23"/>
        <v>0.51428571428571423</v>
      </c>
    </row>
    <row r="741" spans="1:15" x14ac:dyDescent="0.25">
      <c r="A741" t="s">
        <v>1829</v>
      </c>
      <c r="B741" t="s">
        <v>1830</v>
      </c>
      <c r="C741" t="s">
        <v>1831</v>
      </c>
      <c r="D741">
        <v>13.59</v>
      </c>
      <c r="E741">
        <v>-1.61</v>
      </c>
      <c r="F741">
        <v>29.3</v>
      </c>
      <c r="G741">
        <v>61.87</v>
      </c>
      <c r="H741">
        <v>0</v>
      </c>
      <c r="I741">
        <v>2.71</v>
      </c>
      <c r="J741">
        <v>0</v>
      </c>
      <c r="K741" t="s">
        <v>1646</v>
      </c>
      <c r="L741">
        <v>210</v>
      </c>
      <c r="M741">
        <v>111</v>
      </c>
      <c r="N741" s="1">
        <f t="shared" si="22"/>
        <v>0.47142857142857142</v>
      </c>
      <c r="O741" s="1">
        <f t="shared" si="23"/>
        <v>0.52857142857142858</v>
      </c>
    </row>
    <row r="742" spans="1:15" x14ac:dyDescent="0.25">
      <c r="A742" t="s">
        <v>1832</v>
      </c>
      <c r="B742" t="s">
        <v>1833</v>
      </c>
      <c r="C742" t="s">
        <v>1834</v>
      </c>
      <c r="D742">
        <v>13.41</v>
      </c>
      <c r="E742">
        <v>19.95</v>
      </c>
      <c r="F742">
        <v>28.89</v>
      </c>
      <c r="G742">
        <v>87.64</v>
      </c>
      <c r="H742">
        <v>0</v>
      </c>
      <c r="I742">
        <v>3.61</v>
      </c>
      <c r="J742">
        <v>0</v>
      </c>
      <c r="K742" t="s">
        <v>1646</v>
      </c>
      <c r="L742">
        <v>210</v>
      </c>
      <c r="M742">
        <v>114</v>
      </c>
      <c r="N742" s="1">
        <f t="shared" si="22"/>
        <v>0.45714285714285718</v>
      </c>
      <c r="O742" s="1">
        <f t="shared" si="23"/>
        <v>0.54285714285714282</v>
      </c>
    </row>
    <row r="743" spans="1:15" x14ac:dyDescent="0.25">
      <c r="A743" t="s">
        <v>1835</v>
      </c>
      <c r="B743" t="s">
        <v>1836</v>
      </c>
      <c r="C743" t="s">
        <v>1837</v>
      </c>
      <c r="D743">
        <v>13.39</v>
      </c>
      <c r="E743">
        <v>0</v>
      </c>
      <c r="F743">
        <v>28.84</v>
      </c>
      <c r="G743">
        <v>98.5</v>
      </c>
      <c r="H743">
        <v>0</v>
      </c>
      <c r="I743">
        <v>1.5</v>
      </c>
      <c r="J743">
        <v>0</v>
      </c>
      <c r="K743" t="s">
        <v>1646</v>
      </c>
      <c r="L743">
        <v>210</v>
      </c>
      <c r="M743">
        <v>114</v>
      </c>
      <c r="N743" s="1">
        <f t="shared" si="22"/>
        <v>0.45714285714285718</v>
      </c>
      <c r="O743" s="1">
        <f t="shared" si="23"/>
        <v>0.54285714285714282</v>
      </c>
    </row>
    <row r="744" spans="1:15" x14ac:dyDescent="0.25">
      <c r="A744" t="s">
        <v>1838</v>
      </c>
      <c r="B744" t="s">
        <v>1839</v>
      </c>
      <c r="C744" t="s">
        <v>1840</v>
      </c>
      <c r="D744">
        <v>13.18</v>
      </c>
      <c r="E744">
        <v>8.4700000000000006</v>
      </c>
      <c r="F744">
        <v>28.37</v>
      </c>
      <c r="G744">
        <v>87</v>
      </c>
      <c r="H744">
        <v>0</v>
      </c>
      <c r="I744">
        <v>2</v>
      </c>
      <c r="J744">
        <v>0</v>
      </c>
      <c r="K744" t="s">
        <v>1646</v>
      </c>
      <c r="L744">
        <v>210</v>
      </c>
      <c r="M744">
        <v>118</v>
      </c>
      <c r="N744" s="1">
        <f t="shared" si="22"/>
        <v>0.43809523809523809</v>
      </c>
      <c r="O744" s="1">
        <f t="shared" si="23"/>
        <v>0.56190476190476191</v>
      </c>
    </row>
    <row r="745" spans="1:15" x14ac:dyDescent="0.25">
      <c r="A745" t="s">
        <v>1841</v>
      </c>
      <c r="B745" t="s">
        <v>1842</v>
      </c>
      <c r="C745" t="s">
        <v>91</v>
      </c>
      <c r="D745">
        <v>12.96</v>
      </c>
      <c r="E745">
        <v>7.26</v>
      </c>
      <c r="F745">
        <v>27.86</v>
      </c>
      <c r="G745">
        <v>63.95</v>
      </c>
      <c r="H745">
        <v>0</v>
      </c>
      <c r="I745">
        <v>1.34</v>
      </c>
      <c r="J745">
        <v>8.41</v>
      </c>
      <c r="K745" t="s">
        <v>1646</v>
      </c>
      <c r="L745">
        <v>210</v>
      </c>
      <c r="M745">
        <v>123</v>
      </c>
      <c r="N745" s="1">
        <f t="shared" si="22"/>
        <v>0.41428571428571426</v>
      </c>
      <c r="O745" s="1">
        <f t="shared" si="23"/>
        <v>0.58571428571428574</v>
      </c>
    </row>
    <row r="746" spans="1:15" x14ac:dyDescent="0.25">
      <c r="A746" t="s">
        <v>1843</v>
      </c>
      <c r="B746" t="s">
        <v>1844</v>
      </c>
      <c r="C746" t="s">
        <v>1845</v>
      </c>
      <c r="D746">
        <v>12.9</v>
      </c>
      <c r="E746">
        <v>8.91</v>
      </c>
      <c r="F746">
        <v>27.71</v>
      </c>
      <c r="G746">
        <v>98.38</v>
      </c>
      <c r="H746">
        <v>0</v>
      </c>
      <c r="I746">
        <v>1.62</v>
      </c>
      <c r="J746">
        <v>9.4</v>
      </c>
      <c r="K746" t="s">
        <v>1646</v>
      </c>
      <c r="L746">
        <v>210</v>
      </c>
      <c r="M746">
        <v>124</v>
      </c>
      <c r="N746" s="1">
        <f t="shared" si="22"/>
        <v>0.40952380952380951</v>
      </c>
      <c r="O746" s="1">
        <f t="shared" si="23"/>
        <v>0.59047619047619049</v>
      </c>
    </row>
    <row r="747" spans="1:15" x14ac:dyDescent="0.25">
      <c r="A747" t="s">
        <v>1846</v>
      </c>
      <c r="B747" t="s">
        <v>1847</v>
      </c>
      <c r="C747" t="s">
        <v>127</v>
      </c>
      <c r="D747">
        <v>12.77</v>
      </c>
      <c r="E747">
        <v>6.86</v>
      </c>
      <c r="F747">
        <v>27.42</v>
      </c>
      <c r="G747">
        <v>61.2</v>
      </c>
      <c r="H747">
        <v>11.2</v>
      </c>
      <c r="I747">
        <v>2</v>
      </c>
      <c r="J747">
        <v>0</v>
      </c>
      <c r="K747" t="s">
        <v>1646</v>
      </c>
      <c r="L747">
        <v>210</v>
      </c>
      <c r="M747">
        <v>127</v>
      </c>
      <c r="N747" s="1">
        <f t="shared" si="22"/>
        <v>0.39523809523809528</v>
      </c>
      <c r="O747" s="1">
        <f t="shared" si="23"/>
        <v>0.60476190476190472</v>
      </c>
    </row>
    <row r="748" spans="1:15" x14ac:dyDescent="0.25">
      <c r="A748" t="s">
        <v>1848</v>
      </c>
      <c r="B748" t="s">
        <v>1849</v>
      </c>
      <c r="C748" t="s">
        <v>97</v>
      </c>
      <c r="D748">
        <v>12.57</v>
      </c>
      <c r="E748">
        <v>8.6199999999999992</v>
      </c>
      <c r="F748">
        <v>26.98</v>
      </c>
      <c r="G748">
        <v>89.8</v>
      </c>
      <c r="H748">
        <v>2.4500000000000002</v>
      </c>
      <c r="I748">
        <v>0.97</v>
      </c>
      <c r="J748">
        <v>0</v>
      </c>
      <c r="K748" t="s">
        <v>1646</v>
      </c>
      <c r="L748">
        <v>210</v>
      </c>
      <c r="M748">
        <v>129</v>
      </c>
      <c r="N748" s="1">
        <f t="shared" si="22"/>
        <v>0.38571428571428568</v>
      </c>
      <c r="O748" s="1">
        <f t="shared" si="23"/>
        <v>0.61428571428571432</v>
      </c>
    </row>
    <row r="749" spans="1:15" x14ac:dyDescent="0.25">
      <c r="A749" t="s">
        <v>1850</v>
      </c>
      <c r="B749" t="s">
        <v>1851</v>
      </c>
      <c r="C749" t="s">
        <v>1852</v>
      </c>
      <c r="D749">
        <v>12.42</v>
      </c>
      <c r="E749">
        <v>11.1</v>
      </c>
      <c r="F749">
        <v>26.62</v>
      </c>
      <c r="G749">
        <v>63</v>
      </c>
      <c r="H749">
        <v>0</v>
      </c>
      <c r="I749">
        <v>21</v>
      </c>
      <c r="J749">
        <v>0</v>
      </c>
      <c r="K749" t="s">
        <v>1646</v>
      </c>
      <c r="L749">
        <v>210</v>
      </c>
      <c r="M749">
        <v>131</v>
      </c>
      <c r="N749" s="1">
        <f t="shared" si="22"/>
        <v>0.37619047619047619</v>
      </c>
      <c r="O749" s="1">
        <f t="shared" si="23"/>
        <v>0.62380952380952381</v>
      </c>
    </row>
    <row r="750" spans="1:15" x14ac:dyDescent="0.25">
      <c r="A750" t="s">
        <v>1853</v>
      </c>
      <c r="B750" t="s">
        <v>1854</v>
      </c>
      <c r="C750" t="s">
        <v>1855</v>
      </c>
      <c r="D750">
        <v>12.41</v>
      </c>
      <c r="E750">
        <v>5.93</v>
      </c>
      <c r="F750">
        <v>26.61</v>
      </c>
      <c r="G750">
        <v>60.22</v>
      </c>
      <c r="H750">
        <v>0</v>
      </c>
      <c r="I750">
        <v>1.49</v>
      </c>
      <c r="J750">
        <v>2.39</v>
      </c>
      <c r="K750" t="s">
        <v>1646</v>
      </c>
      <c r="L750">
        <v>210</v>
      </c>
      <c r="M750">
        <v>131</v>
      </c>
      <c r="N750" s="1">
        <f t="shared" si="22"/>
        <v>0.37619047619047619</v>
      </c>
      <c r="O750" s="1">
        <f t="shared" si="23"/>
        <v>0.62380952380952381</v>
      </c>
    </row>
    <row r="751" spans="1:15" x14ac:dyDescent="0.25">
      <c r="A751" t="s">
        <v>1856</v>
      </c>
      <c r="B751" t="s">
        <v>1857</v>
      </c>
      <c r="C751" t="s">
        <v>91</v>
      </c>
      <c r="D751">
        <v>12.34</v>
      </c>
      <c r="E751">
        <v>7.26</v>
      </c>
      <c r="F751">
        <v>26.44</v>
      </c>
      <c r="G751">
        <v>71.400000000000006</v>
      </c>
      <c r="H751">
        <v>0</v>
      </c>
      <c r="I751">
        <v>4.8</v>
      </c>
      <c r="J751">
        <v>3</v>
      </c>
      <c r="K751" t="s">
        <v>1646</v>
      </c>
      <c r="L751">
        <v>210</v>
      </c>
      <c r="M751">
        <v>131</v>
      </c>
      <c r="N751" s="1">
        <f t="shared" si="22"/>
        <v>0.37619047619047619</v>
      </c>
      <c r="O751" s="1">
        <f t="shared" si="23"/>
        <v>0.62380952380952381</v>
      </c>
    </row>
    <row r="752" spans="1:15" x14ac:dyDescent="0.25">
      <c r="A752" t="s">
        <v>1858</v>
      </c>
      <c r="B752" t="s">
        <v>1859</v>
      </c>
      <c r="C752" t="s">
        <v>1860</v>
      </c>
      <c r="D752">
        <v>12.25</v>
      </c>
      <c r="E752">
        <v>9.89</v>
      </c>
      <c r="F752">
        <v>26.23</v>
      </c>
      <c r="G752">
        <v>98</v>
      </c>
      <c r="H752">
        <v>0</v>
      </c>
      <c r="I752">
        <v>2</v>
      </c>
      <c r="J752">
        <v>0</v>
      </c>
      <c r="K752" t="s">
        <v>1646</v>
      </c>
      <c r="L752">
        <v>210</v>
      </c>
      <c r="M752">
        <v>132</v>
      </c>
      <c r="N752" s="1">
        <f t="shared" si="22"/>
        <v>0.37142857142857144</v>
      </c>
      <c r="O752" s="1">
        <f t="shared" si="23"/>
        <v>0.62857142857142856</v>
      </c>
    </row>
    <row r="753" spans="1:15" x14ac:dyDescent="0.25">
      <c r="A753" t="s">
        <v>1861</v>
      </c>
      <c r="B753" t="s">
        <v>1862</v>
      </c>
      <c r="C753" t="s">
        <v>1863</v>
      </c>
      <c r="D753">
        <v>12.16</v>
      </c>
      <c r="E753">
        <v>9.8800000000000008</v>
      </c>
      <c r="F753">
        <v>26.04</v>
      </c>
      <c r="G753">
        <v>95.5</v>
      </c>
      <c r="H753">
        <v>0</v>
      </c>
      <c r="I753">
        <v>1.5</v>
      </c>
      <c r="J753">
        <v>0</v>
      </c>
      <c r="K753" t="s">
        <v>1646</v>
      </c>
      <c r="L753">
        <v>210</v>
      </c>
      <c r="M753">
        <v>133</v>
      </c>
      <c r="N753" s="1">
        <f t="shared" si="22"/>
        <v>0.3666666666666667</v>
      </c>
      <c r="O753" s="1">
        <f t="shared" si="23"/>
        <v>0.6333333333333333</v>
      </c>
    </row>
    <row r="754" spans="1:15" x14ac:dyDescent="0.25">
      <c r="A754" t="s">
        <v>1864</v>
      </c>
      <c r="B754" t="s">
        <v>1865</v>
      </c>
      <c r="C754" t="s">
        <v>1866</v>
      </c>
      <c r="D754">
        <v>12</v>
      </c>
      <c r="E754">
        <v>15.21</v>
      </c>
      <c r="F754">
        <v>25.67</v>
      </c>
      <c r="G754">
        <v>88</v>
      </c>
      <c r="H754">
        <v>0</v>
      </c>
      <c r="I754">
        <v>2</v>
      </c>
      <c r="J754">
        <v>0</v>
      </c>
      <c r="K754" t="s">
        <v>1646</v>
      </c>
      <c r="L754">
        <v>210</v>
      </c>
      <c r="M754">
        <v>136</v>
      </c>
      <c r="N754" s="1">
        <f t="shared" si="22"/>
        <v>0.35238095238095235</v>
      </c>
      <c r="O754" s="1">
        <f t="shared" si="23"/>
        <v>0.64761904761904765</v>
      </c>
    </row>
    <row r="755" spans="1:15" x14ac:dyDescent="0.25">
      <c r="A755" t="s">
        <v>1867</v>
      </c>
      <c r="B755" t="s">
        <v>1868</v>
      </c>
      <c r="C755" t="s">
        <v>1869</v>
      </c>
      <c r="D755">
        <v>11.87</v>
      </c>
      <c r="E755">
        <v>6.63</v>
      </c>
      <c r="F755">
        <v>25.38</v>
      </c>
      <c r="G755">
        <v>96</v>
      </c>
      <c r="H755">
        <v>0</v>
      </c>
      <c r="I755">
        <v>4</v>
      </c>
      <c r="J755">
        <v>8</v>
      </c>
      <c r="K755" t="s">
        <v>1646</v>
      </c>
      <c r="L755">
        <v>210</v>
      </c>
      <c r="M755">
        <v>136</v>
      </c>
      <c r="N755" s="1">
        <f t="shared" si="22"/>
        <v>0.35238095238095235</v>
      </c>
      <c r="O755" s="1">
        <f t="shared" si="23"/>
        <v>0.64761904761904765</v>
      </c>
    </row>
    <row r="756" spans="1:15" x14ac:dyDescent="0.25">
      <c r="A756" t="s">
        <v>1870</v>
      </c>
      <c r="B756" t="s">
        <v>1871</v>
      </c>
      <c r="C756" t="s">
        <v>130</v>
      </c>
      <c r="D756">
        <v>11.83</v>
      </c>
      <c r="E756">
        <v>5.93</v>
      </c>
      <c r="F756">
        <v>25.28</v>
      </c>
      <c r="G756">
        <v>66</v>
      </c>
      <c r="H756">
        <v>0</v>
      </c>
      <c r="I756">
        <v>1</v>
      </c>
      <c r="J756">
        <v>0</v>
      </c>
      <c r="K756" t="s">
        <v>1646</v>
      </c>
      <c r="L756">
        <v>210</v>
      </c>
      <c r="M756">
        <v>137</v>
      </c>
      <c r="N756" s="1">
        <f t="shared" si="22"/>
        <v>0.34761904761904761</v>
      </c>
      <c r="O756" s="1">
        <f t="shared" si="23"/>
        <v>0.65238095238095239</v>
      </c>
    </row>
    <row r="757" spans="1:15" x14ac:dyDescent="0.25">
      <c r="A757" t="s">
        <v>1872</v>
      </c>
      <c r="B757" t="s">
        <v>1873</v>
      </c>
      <c r="C757" t="s">
        <v>1874</v>
      </c>
      <c r="D757">
        <v>11.55</v>
      </c>
      <c r="E757">
        <v>3.76</v>
      </c>
      <c r="F757">
        <v>24.67</v>
      </c>
      <c r="G757">
        <v>78.48</v>
      </c>
      <c r="H757">
        <v>3.83</v>
      </c>
      <c r="I757">
        <v>0.87</v>
      </c>
      <c r="J757">
        <v>0</v>
      </c>
      <c r="K757" t="s">
        <v>1646</v>
      </c>
      <c r="L757">
        <v>210</v>
      </c>
      <c r="M757">
        <v>138</v>
      </c>
      <c r="N757" s="1">
        <f t="shared" si="22"/>
        <v>0.34285714285714286</v>
      </c>
      <c r="O757" s="1">
        <f t="shared" si="23"/>
        <v>0.65714285714285714</v>
      </c>
    </row>
    <row r="758" spans="1:15" x14ac:dyDescent="0.25">
      <c r="A758" t="s">
        <v>1875</v>
      </c>
      <c r="B758" t="s">
        <v>1876</v>
      </c>
      <c r="C758" t="s">
        <v>1877</v>
      </c>
      <c r="D758">
        <v>11.5</v>
      </c>
      <c r="E758">
        <v>6.86</v>
      </c>
      <c r="F758">
        <v>24.54</v>
      </c>
      <c r="G758">
        <v>68</v>
      </c>
      <c r="H758">
        <v>0</v>
      </c>
      <c r="I758">
        <v>4</v>
      </c>
      <c r="J758">
        <v>0</v>
      </c>
      <c r="K758" t="s">
        <v>1646</v>
      </c>
      <c r="L758">
        <v>210</v>
      </c>
      <c r="M758">
        <v>138</v>
      </c>
      <c r="N758" s="1">
        <f t="shared" si="22"/>
        <v>0.34285714285714286</v>
      </c>
      <c r="O758" s="1">
        <f t="shared" si="23"/>
        <v>0.65714285714285714</v>
      </c>
    </row>
    <row r="759" spans="1:15" x14ac:dyDescent="0.25">
      <c r="A759" t="s">
        <v>1878</v>
      </c>
      <c r="B759" t="s">
        <v>1879</v>
      </c>
      <c r="C759" t="s">
        <v>1869</v>
      </c>
      <c r="D759">
        <v>10.59</v>
      </c>
      <c r="E759">
        <v>6.63</v>
      </c>
      <c r="F759">
        <v>22.51</v>
      </c>
      <c r="G759">
        <v>96</v>
      </c>
      <c r="H759">
        <v>0</v>
      </c>
      <c r="I759">
        <v>4</v>
      </c>
      <c r="J759">
        <v>8</v>
      </c>
      <c r="K759" t="s">
        <v>1646</v>
      </c>
      <c r="L759">
        <v>210</v>
      </c>
      <c r="M759">
        <v>145</v>
      </c>
      <c r="N759" s="1">
        <f t="shared" si="22"/>
        <v>0.30952380952380953</v>
      </c>
      <c r="O759" s="1">
        <f t="shared" si="23"/>
        <v>0.69047619047619047</v>
      </c>
    </row>
    <row r="760" spans="1:15" x14ac:dyDescent="0.25">
      <c r="A760" t="s">
        <v>1880</v>
      </c>
      <c r="B760" t="s">
        <v>1881</v>
      </c>
      <c r="C760" t="s">
        <v>1840</v>
      </c>
      <c r="D760">
        <v>10.36</v>
      </c>
      <c r="E760">
        <v>8.4700000000000006</v>
      </c>
      <c r="F760">
        <v>21.98</v>
      </c>
      <c r="G760">
        <v>75.44</v>
      </c>
      <c r="H760">
        <v>0</v>
      </c>
      <c r="I760">
        <v>1.93</v>
      </c>
      <c r="J760">
        <v>2.5</v>
      </c>
      <c r="K760" t="s">
        <v>1646</v>
      </c>
      <c r="L760">
        <v>210</v>
      </c>
      <c r="M760">
        <v>146</v>
      </c>
      <c r="N760" s="1">
        <f t="shared" si="22"/>
        <v>0.30476190476190479</v>
      </c>
      <c r="O760" s="1">
        <f t="shared" si="23"/>
        <v>0.69523809523809521</v>
      </c>
    </row>
    <row r="761" spans="1:15" x14ac:dyDescent="0.25">
      <c r="A761" t="s">
        <v>1882</v>
      </c>
      <c r="B761" t="s">
        <v>1883</v>
      </c>
      <c r="C761" t="s">
        <v>1884</v>
      </c>
      <c r="D761">
        <v>9.8800000000000008</v>
      </c>
      <c r="E761">
        <v>14.4</v>
      </c>
      <c r="F761">
        <v>20.93</v>
      </c>
      <c r="G761">
        <v>69.97</v>
      </c>
      <c r="H761">
        <v>0</v>
      </c>
      <c r="I761">
        <v>1.82</v>
      </c>
      <c r="J761">
        <v>4.4800000000000004</v>
      </c>
      <c r="K761" t="s">
        <v>1646</v>
      </c>
      <c r="L761">
        <v>210</v>
      </c>
      <c r="M761">
        <v>149</v>
      </c>
      <c r="N761" s="1">
        <f t="shared" si="22"/>
        <v>0.29047619047619044</v>
      </c>
      <c r="O761" s="1">
        <f t="shared" si="23"/>
        <v>0.70952380952380956</v>
      </c>
    </row>
    <row r="762" spans="1:15" x14ac:dyDescent="0.25">
      <c r="A762" t="s">
        <v>1885</v>
      </c>
      <c r="B762" t="s">
        <v>1886</v>
      </c>
      <c r="C762" t="s">
        <v>1887</v>
      </c>
      <c r="D762">
        <v>9.73</v>
      </c>
      <c r="E762">
        <v>6.25</v>
      </c>
      <c r="F762">
        <v>20.6</v>
      </c>
      <c r="G762">
        <v>67</v>
      </c>
      <c r="H762">
        <v>0</v>
      </c>
      <c r="I762">
        <v>2</v>
      </c>
      <c r="J762">
        <v>0</v>
      </c>
      <c r="K762" t="s">
        <v>1646</v>
      </c>
      <c r="L762">
        <v>210</v>
      </c>
      <c r="M762">
        <v>149</v>
      </c>
      <c r="N762" s="1">
        <f t="shared" si="22"/>
        <v>0.29047619047619044</v>
      </c>
      <c r="O762" s="1">
        <f t="shared" si="23"/>
        <v>0.70952380952380956</v>
      </c>
    </row>
    <row r="763" spans="1:15" x14ac:dyDescent="0.25">
      <c r="A763" t="s">
        <v>1888</v>
      </c>
      <c r="B763" t="s">
        <v>1889</v>
      </c>
      <c r="C763" t="s">
        <v>1890</v>
      </c>
      <c r="D763">
        <v>9.44</v>
      </c>
      <c r="E763">
        <v>8.4700000000000006</v>
      </c>
      <c r="F763">
        <v>19.95</v>
      </c>
      <c r="G763">
        <v>74</v>
      </c>
      <c r="H763">
        <v>0</v>
      </c>
      <c r="I763">
        <v>5</v>
      </c>
      <c r="J763">
        <v>0</v>
      </c>
      <c r="K763" t="s">
        <v>1646</v>
      </c>
      <c r="L763">
        <v>210</v>
      </c>
      <c r="M763">
        <v>149</v>
      </c>
      <c r="N763" s="1">
        <f t="shared" si="22"/>
        <v>0.29047619047619044</v>
      </c>
      <c r="O763" s="1">
        <f t="shared" si="23"/>
        <v>0.70952380952380956</v>
      </c>
    </row>
    <row r="764" spans="1:15" x14ac:dyDescent="0.25">
      <c r="A764" t="s">
        <v>1891</v>
      </c>
      <c r="B764" t="s">
        <v>1892</v>
      </c>
      <c r="C764" t="s">
        <v>97</v>
      </c>
      <c r="D764">
        <v>9.27</v>
      </c>
      <c r="E764">
        <v>7.09</v>
      </c>
      <c r="F764">
        <v>19.579999999999998</v>
      </c>
      <c r="G764">
        <v>63</v>
      </c>
      <c r="H764">
        <v>0</v>
      </c>
      <c r="I764">
        <v>2</v>
      </c>
      <c r="J764">
        <v>0</v>
      </c>
      <c r="K764" t="s">
        <v>1646</v>
      </c>
      <c r="L764">
        <v>210</v>
      </c>
      <c r="M764">
        <v>149</v>
      </c>
      <c r="N764" s="1">
        <f t="shared" si="22"/>
        <v>0.29047619047619044</v>
      </c>
      <c r="O764" s="1">
        <f t="shared" si="23"/>
        <v>0.70952380952380956</v>
      </c>
    </row>
    <row r="765" spans="1:15" x14ac:dyDescent="0.25">
      <c r="A765" t="s">
        <v>1893</v>
      </c>
      <c r="B765" t="s">
        <v>1894</v>
      </c>
      <c r="C765" t="s">
        <v>1895</v>
      </c>
      <c r="D765">
        <v>8.81</v>
      </c>
      <c r="E765">
        <v>7.5</v>
      </c>
      <c r="F765">
        <v>18.57</v>
      </c>
      <c r="G765">
        <v>79</v>
      </c>
      <c r="H765">
        <v>0</v>
      </c>
      <c r="I765">
        <v>1</v>
      </c>
      <c r="J765">
        <v>0</v>
      </c>
      <c r="K765" t="s">
        <v>1646</v>
      </c>
      <c r="L765">
        <v>210</v>
      </c>
      <c r="M765">
        <v>150</v>
      </c>
      <c r="N765" s="1">
        <f t="shared" si="22"/>
        <v>0.2857142857142857</v>
      </c>
      <c r="O765" s="1">
        <f t="shared" si="23"/>
        <v>0.7142857142857143</v>
      </c>
    </row>
    <row r="766" spans="1:15" x14ac:dyDescent="0.25">
      <c r="A766" t="s">
        <v>1896</v>
      </c>
      <c r="B766" t="s">
        <v>1897</v>
      </c>
      <c r="C766" t="s">
        <v>1898</v>
      </c>
      <c r="D766">
        <v>8.49</v>
      </c>
      <c r="E766">
        <v>9.34</v>
      </c>
      <c r="F766">
        <v>17.850000000000001</v>
      </c>
      <c r="G766">
        <v>99</v>
      </c>
      <c r="H766">
        <v>0</v>
      </c>
      <c r="I766">
        <v>1</v>
      </c>
      <c r="J766">
        <v>0</v>
      </c>
      <c r="K766" t="s">
        <v>1646</v>
      </c>
      <c r="L766">
        <v>210</v>
      </c>
      <c r="M766">
        <v>150</v>
      </c>
      <c r="N766" s="1">
        <f t="shared" si="22"/>
        <v>0.2857142857142857</v>
      </c>
      <c r="O766" s="1">
        <f t="shared" si="23"/>
        <v>0.7142857142857143</v>
      </c>
    </row>
    <row r="767" spans="1:15" x14ac:dyDescent="0.25">
      <c r="A767" t="s">
        <v>1899</v>
      </c>
      <c r="B767" t="s">
        <v>1900</v>
      </c>
      <c r="C767" t="s">
        <v>1901</v>
      </c>
      <c r="D767">
        <v>8.19</v>
      </c>
      <c r="E767">
        <v>6.54</v>
      </c>
      <c r="F767">
        <v>17.2</v>
      </c>
      <c r="G767">
        <v>99.22</v>
      </c>
      <c r="H767">
        <v>0</v>
      </c>
      <c r="I767">
        <v>0.78</v>
      </c>
      <c r="J767">
        <v>0</v>
      </c>
      <c r="K767" t="s">
        <v>1646</v>
      </c>
      <c r="L767">
        <v>210</v>
      </c>
      <c r="M767">
        <v>156</v>
      </c>
      <c r="N767" s="1">
        <f t="shared" si="22"/>
        <v>0.25714285714285712</v>
      </c>
      <c r="O767" s="1">
        <f t="shared" si="23"/>
        <v>0.74285714285714288</v>
      </c>
    </row>
    <row r="768" spans="1:15" x14ac:dyDescent="0.25">
      <c r="A768" t="s">
        <v>1902</v>
      </c>
      <c r="B768" t="s">
        <v>1903</v>
      </c>
      <c r="C768" t="s">
        <v>1904</v>
      </c>
      <c r="D768">
        <v>8.17</v>
      </c>
      <c r="E768">
        <v>6.43</v>
      </c>
      <c r="F768">
        <v>17.170000000000002</v>
      </c>
      <c r="G768">
        <v>65</v>
      </c>
      <c r="H768">
        <v>26.72</v>
      </c>
      <c r="I768">
        <v>1.28</v>
      </c>
      <c r="J768">
        <v>0</v>
      </c>
      <c r="K768" t="s">
        <v>1646</v>
      </c>
      <c r="L768">
        <v>210</v>
      </c>
      <c r="M768">
        <v>156</v>
      </c>
      <c r="N768" s="1">
        <f t="shared" si="22"/>
        <v>0.25714285714285712</v>
      </c>
      <c r="O768" s="1">
        <f t="shared" si="23"/>
        <v>0.74285714285714288</v>
      </c>
    </row>
    <row r="769" spans="1:15" x14ac:dyDescent="0.25">
      <c r="A769" t="s">
        <v>1905</v>
      </c>
      <c r="B769" t="s">
        <v>1906</v>
      </c>
      <c r="C769" t="s">
        <v>203</v>
      </c>
      <c r="D769">
        <v>7.61</v>
      </c>
      <c r="E769">
        <v>8.4700000000000006</v>
      </c>
      <c r="F769">
        <v>15.94</v>
      </c>
      <c r="G769">
        <v>79.599999999999994</v>
      </c>
      <c r="H769">
        <v>0</v>
      </c>
      <c r="I769">
        <v>2</v>
      </c>
      <c r="J769">
        <v>0</v>
      </c>
      <c r="K769" t="s">
        <v>1646</v>
      </c>
      <c r="L769">
        <v>210</v>
      </c>
      <c r="M769">
        <v>165</v>
      </c>
      <c r="N769" s="1">
        <f t="shared" si="22"/>
        <v>0.2142857142857143</v>
      </c>
      <c r="O769" s="1">
        <f t="shared" si="23"/>
        <v>0.7857142857142857</v>
      </c>
    </row>
    <row r="770" spans="1:15" x14ac:dyDescent="0.25">
      <c r="A770" t="s">
        <v>1907</v>
      </c>
      <c r="B770" t="s">
        <v>1908</v>
      </c>
      <c r="C770" t="s">
        <v>1845</v>
      </c>
      <c r="D770">
        <v>7.07</v>
      </c>
      <c r="E770">
        <v>8.91</v>
      </c>
      <c r="F770">
        <v>14.76</v>
      </c>
      <c r="G770">
        <v>90</v>
      </c>
      <c r="H770">
        <v>0</v>
      </c>
      <c r="I770">
        <v>2</v>
      </c>
      <c r="J770">
        <v>0</v>
      </c>
      <c r="K770" t="s">
        <v>1646</v>
      </c>
      <c r="L770">
        <v>210</v>
      </c>
      <c r="M770">
        <v>169</v>
      </c>
      <c r="N770" s="1">
        <f t="shared" ref="N770:N833" si="24">1-O770</f>
        <v>0.19523809523809521</v>
      </c>
      <c r="O770" s="1">
        <f t="shared" ref="O770:O833" si="25">M770/L770</f>
        <v>0.80476190476190479</v>
      </c>
    </row>
    <row r="771" spans="1:15" x14ac:dyDescent="0.25">
      <c r="A771" t="s">
        <v>1909</v>
      </c>
      <c r="B771" t="s">
        <v>1910</v>
      </c>
      <c r="C771" t="s">
        <v>1911</v>
      </c>
      <c r="D771">
        <v>6.99</v>
      </c>
      <c r="E771">
        <v>13.63</v>
      </c>
      <c r="F771">
        <v>14.6</v>
      </c>
      <c r="G771">
        <v>72.58</v>
      </c>
      <c r="H771">
        <v>7</v>
      </c>
      <c r="I771">
        <v>0.74</v>
      </c>
      <c r="J771">
        <v>4</v>
      </c>
      <c r="K771" t="s">
        <v>1646</v>
      </c>
      <c r="L771">
        <v>210</v>
      </c>
      <c r="M771">
        <v>169</v>
      </c>
      <c r="N771" s="1">
        <f t="shared" si="24"/>
        <v>0.19523809523809521</v>
      </c>
      <c r="O771" s="1">
        <f t="shared" si="25"/>
        <v>0.80476190476190479</v>
      </c>
    </row>
    <row r="772" spans="1:15" x14ac:dyDescent="0.25">
      <c r="A772" t="s">
        <v>1912</v>
      </c>
      <c r="B772" t="s">
        <v>1913</v>
      </c>
      <c r="C772" t="s">
        <v>1914</v>
      </c>
      <c r="D772">
        <v>6.97</v>
      </c>
      <c r="E772">
        <v>8.91</v>
      </c>
      <c r="F772">
        <v>14.56</v>
      </c>
      <c r="G772">
        <v>98.5</v>
      </c>
      <c r="H772">
        <v>0</v>
      </c>
      <c r="I772">
        <v>1.5</v>
      </c>
      <c r="J772">
        <v>0</v>
      </c>
      <c r="K772" t="s">
        <v>1646</v>
      </c>
      <c r="L772">
        <v>210</v>
      </c>
      <c r="M772">
        <v>169</v>
      </c>
      <c r="N772" s="1">
        <f t="shared" si="24"/>
        <v>0.19523809523809521</v>
      </c>
      <c r="O772" s="1">
        <f t="shared" si="25"/>
        <v>0.80476190476190479</v>
      </c>
    </row>
    <row r="773" spans="1:15" x14ac:dyDescent="0.25">
      <c r="A773" t="s">
        <v>1915</v>
      </c>
      <c r="B773" t="s">
        <v>1916</v>
      </c>
      <c r="C773" t="s">
        <v>1917</v>
      </c>
      <c r="D773">
        <v>6.56</v>
      </c>
      <c r="E773">
        <v>7.6</v>
      </c>
      <c r="F773">
        <v>13.67</v>
      </c>
      <c r="G773">
        <v>75</v>
      </c>
      <c r="H773">
        <v>0</v>
      </c>
      <c r="I773">
        <v>2</v>
      </c>
      <c r="J773">
        <v>0</v>
      </c>
      <c r="K773" t="s">
        <v>1646</v>
      </c>
      <c r="L773">
        <v>210</v>
      </c>
      <c r="M773">
        <v>169</v>
      </c>
      <c r="N773" s="1">
        <f t="shared" si="24"/>
        <v>0.19523809523809521</v>
      </c>
      <c r="O773" s="1">
        <f t="shared" si="25"/>
        <v>0.80476190476190479</v>
      </c>
    </row>
    <row r="774" spans="1:15" x14ac:dyDescent="0.25">
      <c r="A774" t="s">
        <v>1918</v>
      </c>
      <c r="B774" t="s">
        <v>1919</v>
      </c>
      <c r="C774" t="s">
        <v>1920</v>
      </c>
      <c r="D774">
        <v>6.26</v>
      </c>
      <c r="E774">
        <v>-4.55</v>
      </c>
      <c r="F774">
        <v>13.02</v>
      </c>
      <c r="G774">
        <v>72.900000000000006</v>
      </c>
      <c r="H774">
        <v>2.04</v>
      </c>
      <c r="I774">
        <v>2.0099999999999998</v>
      </c>
      <c r="J774">
        <v>0</v>
      </c>
      <c r="K774" t="s">
        <v>1646</v>
      </c>
      <c r="L774">
        <v>210</v>
      </c>
      <c r="M774">
        <v>174</v>
      </c>
      <c r="N774" s="1">
        <f t="shared" si="24"/>
        <v>0.17142857142857137</v>
      </c>
      <c r="O774" s="1">
        <f t="shared" si="25"/>
        <v>0.82857142857142863</v>
      </c>
    </row>
    <row r="775" spans="1:15" x14ac:dyDescent="0.25">
      <c r="A775" t="s">
        <v>1921</v>
      </c>
      <c r="B775" t="s">
        <v>1922</v>
      </c>
      <c r="C775" t="s">
        <v>1923</v>
      </c>
      <c r="D775">
        <v>6.15</v>
      </c>
      <c r="E775">
        <v>5.39</v>
      </c>
      <c r="F775">
        <v>12.78</v>
      </c>
      <c r="G775">
        <v>70.760000000000005</v>
      </c>
      <c r="H775">
        <v>24.44</v>
      </c>
      <c r="I775">
        <v>1</v>
      </c>
      <c r="J775">
        <v>1.86</v>
      </c>
      <c r="K775" t="s">
        <v>1646</v>
      </c>
      <c r="L775">
        <v>210</v>
      </c>
      <c r="M775">
        <v>174</v>
      </c>
      <c r="N775" s="1">
        <f t="shared" si="24"/>
        <v>0.17142857142857137</v>
      </c>
      <c r="O775" s="1">
        <f t="shared" si="25"/>
        <v>0.82857142857142863</v>
      </c>
    </row>
    <row r="776" spans="1:15" x14ac:dyDescent="0.25">
      <c r="A776" t="s">
        <v>1924</v>
      </c>
      <c r="B776" t="s">
        <v>1925</v>
      </c>
      <c r="C776" t="s">
        <v>1926</v>
      </c>
      <c r="D776">
        <v>5.74</v>
      </c>
      <c r="E776">
        <v>8.9</v>
      </c>
      <c r="F776">
        <v>11.91</v>
      </c>
      <c r="G776">
        <v>85.96</v>
      </c>
      <c r="H776">
        <v>0</v>
      </c>
      <c r="I776">
        <v>1.05</v>
      </c>
      <c r="J776">
        <v>0</v>
      </c>
      <c r="K776" t="s">
        <v>1646</v>
      </c>
      <c r="L776">
        <v>210</v>
      </c>
      <c r="M776">
        <v>181</v>
      </c>
      <c r="N776" s="1">
        <f t="shared" si="24"/>
        <v>0.13809523809523805</v>
      </c>
      <c r="O776" s="1">
        <f t="shared" si="25"/>
        <v>0.86190476190476195</v>
      </c>
    </row>
    <row r="777" spans="1:15" x14ac:dyDescent="0.25">
      <c r="A777" t="s">
        <v>1927</v>
      </c>
      <c r="B777" t="s">
        <v>1928</v>
      </c>
      <c r="C777" t="s">
        <v>1929</v>
      </c>
      <c r="D777">
        <v>5.69</v>
      </c>
      <c r="E777">
        <v>13.02</v>
      </c>
      <c r="F777">
        <v>11.8</v>
      </c>
      <c r="G777">
        <v>62.8</v>
      </c>
      <c r="H777">
        <v>0</v>
      </c>
      <c r="I777">
        <v>7</v>
      </c>
      <c r="J777">
        <v>5</v>
      </c>
      <c r="K777" t="s">
        <v>1646</v>
      </c>
      <c r="L777">
        <v>210</v>
      </c>
      <c r="M777">
        <v>183</v>
      </c>
      <c r="N777" s="1">
        <f t="shared" si="24"/>
        <v>0.12857142857142856</v>
      </c>
      <c r="O777" s="1">
        <f t="shared" si="25"/>
        <v>0.87142857142857144</v>
      </c>
    </row>
    <row r="778" spans="1:15" x14ac:dyDescent="0.25">
      <c r="A778" t="s">
        <v>1930</v>
      </c>
      <c r="B778" t="s">
        <v>1931</v>
      </c>
      <c r="C778" t="s">
        <v>1701</v>
      </c>
      <c r="D778">
        <v>5.56</v>
      </c>
      <c r="E778">
        <v>8.6300000000000008</v>
      </c>
      <c r="F778">
        <v>11.53</v>
      </c>
      <c r="G778">
        <v>67</v>
      </c>
      <c r="H778">
        <v>0</v>
      </c>
      <c r="I778">
        <v>1</v>
      </c>
      <c r="J778">
        <v>0</v>
      </c>
      <c r="K778" t="s">
        <v>1646</v>
      </c>
      <c r="L778">
        <v>210</v>
      </c>
      <c r="M778">
        <v>183</v>
      </c>
      <c r="N778" s="1">
        <f t="shared" si="24"/>
        <v>0.12857142857142856</v>
      </c>
      <c r="O778" s="1">
        <f t="shared" si="25"/>
        <v>0.87142857142857144</v>
      </c>
    </row>
    <row r="779" spans="1:15" x14ac:dyDescent="0.25">
      <c r="A779" t="s">
        <v>1932</v>
      </c>
      <c r="B779" t="s">
        <v>1933</v>
      </c>
      <c r="C779" t="s">
        <v>234</v>
      </c>
      <c r="D779">
        <v>4.7</v>
      </c>
      <c r="F779">
        <v>9.7100000000000009</v>
      </c>
      <c r="G779">
        <v>68.97</v>
      </c>
      <c r="H779">
        <v>29.08</v>
      </c>
      <c r="I779">
        <v>1.95</v>
      </c>
      <c r="J779">
        <v>0</v>
      </c>
      <c r="K779" t="s">
        <v>1646</v>
      </c>
      <c r="L779">
        <v>210</v>
      </c>
      <c r="M779">
        <v>184</v>
      </c>
      <c r="N779" s="1">
        <f t="shared" si="24"/>
        <v>0.12380952380952381</v>
      </c>
      <c r="O779" s="1">
        <f t="shared" si="25"/>
        <v>0.87619047619047619</v>
      </c>
    </row>
    <row r="780" spans="1:15" x14ac:dyDescent="0.25">
      <c r="A780" t="s">
        <v>1934</v>
      </c>
      <c r="B780" t="s">
        <v>1935</v>
      </c>
      <c r="C780" t="s">
        <v>1936</v>
      </c>
      <c r="D780">
        <v>4.57</v>
      </c>
      <c r="E780">
        <v>5.71</v>
      </c>
      <c r="F780">
        <v>9.44</v>
      </c>
      <c r="G780">
        <v>77.81</v>
      </c>
      <c r="H780">
        <v>7.75</v>
      </c>
      <c r="I780">
        <v>1.08</v>
      </c>
      <c r="J780">
        <v>8.43</v>
      </c>
      <c r="K780" t="s">
        <v>1646</v>
      </c>
      <c r="L780">
        <v>210</v>
      </c>
      <c r="M780">
        <v>184</v>
      </c>
      <c r="N780" s="1">
        <f t="shared" si="24"/>
        <v>0.12380952380952381</v>
      </c>
      <c r="O780" s="1">
        <f t="shared" si="25"/>
        <v>0.87619047619047619</v>
      </c>
    </row>
    <row r="781" spans="1:15" x14ac:dyDescent="0.25">
      <c r="A781" t="s">
        <v>1937</v>
      </c>
      <c r="B781" t="s">
        <v>1938</v>
      </c>
      <c r="C781" t="s">
        <v>1939</v>
      </c>
      <c r="D781">
        <v>3.15</v>
      </c>
      <c r="E781">
        <v>9.34</v>
      </c>
      <c r="F781">
        <v>6.45</v>
      </c>
      <c r="G781">
        <v>98.41</v>
      </c>
      <c r="H781">
        <v>0</v>
      </c>
      <c r="I781">
        <v>1.58</v>
      </c>
      <c r="J781">
        <v>8.59</v>
      </c>
      <c r="K781" t="s">
        <v>1646</v>
      </c>
      <c r="L781">
        <v>210</v>
      </c>
      <c r="M781">
        <v>194</v>
      </c>
      <c r="N781" s="1">
        <f t="shared" si="24"/>
        <v>7.6190476190476142E-2</v>
      </c>
      <c r="O781" s="1">
        <f t="shared" si="25"/>
        <v>0.92380952380952386</v>
      </c>
    </row>
    <row r="782" spans="1:15" x14ac:dyDescent="0.25">
      <c r="A782" t="s">
        <v>1940</v>
      </c>
      <c r="B782" t="s">
        <v>1941</v>
      </c>
      <c r="C782" t="s">
        <v>1939</v>
      </c>
      <c r="D782">
        <v>3.03</v>
      </c>
      <c r="E782">
        <v>9.34</v>
      </c>
      <c r="F782">
        <v>6.2</v>
      </c>
      <c r="G782">
        <v>98.28</v>
      </c>
      <c r="H782">
        <v>0</v>
      </c>
      <c r="I782">
        <v>1.73</v>
      </c>
      <c r="J782">
        <v>8.5399999999999991</v>
      </c>
      <c r="K782" t="s">
        <v>1646</v>
      </c>
      <c r="L782">
        <v>210</v>
      </c>
      <c r="M782">
        <v>194</v>
      </c>
      <c r="N782" s="1">
        <f t="shared" si="24"/>
        <v>7.6190476190476142E-2</v>
      </c>
      <c r="O782" s="1">
        <f t="shared" si="25"/>
        <v>0.92380952380952386</v>
      </c>
    </row>
    <row r="783" spans="1:15" x14ac:dyDescent="0.25">
      <c r="A783" t="s">
        <v>1942</v>
      </c>
      <c r="B783" t="s">
        <v>1943</v>
      </c>
      <c r="C783" t="s">
        <v>71</v>
      </c>
      <c r="D783">
        <v>2.4</v>
      </c>
      <c r="E783">
        <v>6.3</v>
      </c>
      <c r="F783">
        <v>4.9000000000000004</v>
      </c>
      <c r="G783">
        <v>91</v>
      </c>
      <c r="H783">
        <v>7</v>
      </c>
      <c r="I783">
        <v>2</v>
      </c>
      <c r="J783">
        <v>0</v>
      </c>
      <c r="K783" t="s">
        <v>1646</v>
      </c>
      <c r="L783">
        <v>210</v>
      </c>
      <c r="M783">
        <v>195</v>
      </c>
      <c r="N783" s="1">
        <f t="shared" si="24"/>
        <v>7.1428571428571397E-2</v>
      </c>
      <c r="O783" s="1">
        <f t="shared" si="25"/>
        <v>0.9285714285714286</v>
      </c>
    </row>
    <row r="784" spans="1:15" x14ac:dyDescent="0.25">
      <c r="A784" t="s">
        <v>1944</v>
      </c>
      <c r="B784" t="s">
        <v>1945</v>
      </c>
      <c r="C784" t="s">
        <v>1946</v>
      </c>
      <c r="D784">
        <v>1.99</v>
      </c>
      <c r="E784">
        <v>6.95</v>
      </c>
      <c r="F784">
        <v>4.04</v>
      </c>
      <c r="G784">
        <v>63</v>
      </c>
      <c r="H784">
        <v>19</v>
      </c>
      <c r="I784">
        <v>2</v>
      </c>
      <c r="J784">
        <v>0</v>
      </c>
      <c r="K784" t="s">
        <v>1646</v>
      </c>
      <c r="L784">
        <v>210</v>
      </c>
      <c r="M784">
        <v>198</v>
      </c>
      <c r="N784" s="1">
        <f t="shared" si="24"/>
        <v>5.7142857142857162E-2</v>
      </c>
      <c r="O784" s="1">
        <f t="shared" si="25"/>
        <v>0.94285714285714284</v>
      </c>
    </row>
    <row r="785" spans="1:15" x14ac:dyDescent="0.25">
      <c r="A785" t="s">
        <v>1947</v>
      </c>
      <c r="B785" t="s">
        <v>1948</v>
      </c>
      <c r="D785">
        <v>1.0900000000000001</v>
      </c>
      <c r="E785">
        <v>0</v>
      </c>
      <c r="F785">
        <v>2.2200000000000002</v>
      </c>
      <c r="G785">
        <v>70.5</v>
      </c>
      <c r="H785">
        <v>18.5</v>
      </c>
      <c r="I785">
        <v>4.5</v>
      </c>
      <c r="J785">
        <v>4.5</v>
      </c>
      <c r="K785" t="s">
        <v>1646</v>
      </c>
      <c r="L785">
        <v>210</v>
      </c>
      <c r="M785">
        <v>200</v>
      </c>
      <c r="N785" s="1">
        <f t="shared" si="24"/>
        <v>4.7619047619047672E-2</v>
      </c>
      <c r="O785" s="1">
        <f t="shared" si="25"/>
        <v>0.95238095238095233</v>
      </c>
    </row>
    <row r="786" spans="1:15" x14ac:dyDescent="0.25">
      <c r="A786" t="s">
        <v>1949</v>
      </c>
      <c r="B786" t="s">
        <v>1950</v>
      </c>
      <c r="D786">
        <v>1</v>
      </c>
      <c r="F786">
        <v>2.0299999999999998</v>
      </c>
      <c r="G786">
        <v>74.5</v>
      </c>
      <c r="H786">
        <v>0</v>
      </c>
      <c r="I786">
        <v>6.3</v>
      </c>
      <c r="J786">
        <v>6</v>
      </c>
      <c r="K786" t="s">
        <v>1646</v>
      </c>
      <c r="L786">
        <v>210</v>
      </c>
      <c r="M786">
        <v>200</v>
      </c>
      <c r="N786" s="1">
        <f t="shared" si="24"/>
        <v>4.7619047619047672E-2</v>
      </c>
      <c r="O786" s="1">
        <f t="shared" si="25"/>
        <v>0.95238095238095233</v>
      </c>
    </row>
    <row r="787" spans="1:15" x14ac:dyDescent="0.25">
      <c r="A787" t="s">
        <v>1951</v>
      </c>
      <c r="B787" t="s">
        <v>1952</v>
      </c>
      <c r="C787" t="s">
        <v>1953</v>
      </c>
      <c r="D787">
        <v>0.36</v>
      </c>
      <c r="F787">
        <v>0.73</v>
      </c>
      <c r="G787">
        <v>100</v>
      </c>
      <c r="H787">
        <v>0</v>
      </c>
      <c r="I787">
        <v>0</v>
      </c>
      <c r="J787">
        <v>8.35</v>
      </c>
      <c r="K787" t="s">
        <v>1646</v>
      </c>
      <c r="L787">
        <v>210</v>
      </c>
      <c r="M787">
        <v>200</v>
      </c>
      <c r="N787" s="1">
        <f t="shared" si="24"/>
        <v>4.7619047619047672E-2</v>
      </c>
      <c r="O787" s="1">
        <f t="shared" si="25"/>
        <v>0.95238095238095233</v>
      </c>
    </row>
    <row r="788" spans="1:15" x14ac:dyDescent="0.25">
      <c r="A788" t="s">
        <v>1954</v>
      </c>
      <c r="B788" t="s">
        <v>1955</v>
      </c>
      <c r="C788" t="s">
        <v>1956</v>
      </c>
      <c r="D788">
        <v>0.28000000000000003</v>
      </c>
      <c r="E788">
        <v>37.03</v>
      </c>
      <c r="F788">
        <v>0.56999999999999995</v>
      </c>
      <c r="G788">
        <v>100</v>
      </c>
      <c r="H788">
        <v>0</v>
      </c>
      <c r="I788">
        <v>0</v>
      </c>
      <c r="J788">
        <v>0</v>
      </c>
      <c r="K788" t="s">
        <v>1646</v>
      </c>
      <c r="L788">
        <v>210</v>
      </c>
      <c r="M788">
        <v>200</v>
      </c>
      <c r="N788" s="1">
        <f t="shared" si="24"/>
        <v>4.7619047619047672E-2</v>
      </c>
      <c r="O788" s="1">
        <f t="shared" si="25"/>
        <v>0.95238095238095233</v>
      </c>
    </row>
    <row r="789" spans="1:15" x14ac:dyDescent="0.25">
      <c r="A789" t="s">
        <v>1957</v>
      </c>
      <c r="B789" t="s">
        <v>1958</v>
      </c>
      <c r="C789" t="s">
        <v>1959</v>
      </c>
      <c r="D789">
        <v>0.22</v>
      </c>
      <c r="E789">
        <v>7.61</v>
      </c>
      <c r="F789">
        <v>0.44</v>
      </c>
      <c r="G789">
        <v>73.849999999999994</v>
      </c>
      <c r="H789">
        <v>0</v>
      </c>
      <c r="I789">
        <v>6.26</v>
      </c>
      <c r="J789">
        <v>5.3</v>
      </c>
      <c r="K789" t="s">
        <v>1646</v>
      </c>
      <c r="L789">
        <v>210</v>
      </c>
      <c r="M789">
        <v>200</v>
      </c>
      <c r="N789" s="1">
        <f t="shared" si="24"/>
        <v>4.7619047619047672E-2</v>
      </c>
      <c r="O789" s="1">
        <f t="shared" si="25"/>
        <v>0.95238095238095233</v>
      </c>
    </row>
    <row r="790" spans="1:15" x14ac:dyDescent="0.25">
      <c r="A790" t="s">
        <v>1960</v>
      </c>
      <c r="B790" t="s">
        <v>1961</v>
      </c>
      <c r="C790" t="s">
        <v>17</v>
      </c>
      <c r="D790">
        <v>-0.55000000000000004</v>
      </c>
      <c r="E790">
        <v>6.58</v>
      </c>
      <c r="F790">
        <v>-1.1100000000000001</v>
      </c>
      <c r="G790">
        <v>65.13</v>
      </c>
      <c r="H790">
        <v>0</v>
      </c>
      <c r="I790">
        <v>1.85</v>
      </c>
      <c r="J790">
        <v>5.13</v>
      </c>
      <c r="K790" t="s">
        <v>1646</v>
      </c>
      <c r="L790">
        <v>210</v>
      </c>
      <c r="M790">
        <v>200</v>
      </c>
      <c r="N790" s="1">
        <f t="shared" si="24"/>
        <v>4.7619047619047672E-2</v>
      </c>
      <c r="O790" s="1">
        <f t="shared" si="25"/>
        <v>0.95238095238095233</v>
      </c>
    </row>
    <row r="791" spans="1:15" x14ac:dyDescent="0.25">
      <c r="A791" t="s">
        <v>1962</v>
      </c>
      <c r="B791" t="s">
        <v>1963</v>
      </c>
      <c r="C791" t="s">
        <v>1964</v>
      </c>
      <c r="D791">
        <v>-1.98</v>
      </c>
      <c r="E791">
        <v>-7.49</v>
      </c>
      <c r="F791">
        <v>-3.96</v>
      </c>
      <c r="G791">
        <v>78</v>
      </c>
      <c r="H791">
        <v>0</v>
      </c>
      <c r="I791">
        <v>6</v>
      </c>
      <c r="J791">
        <v>0</v>
      </c>
      <c r="K791" t="s">
        <v>1646</v>
      </c>
      <c r="L791">
        <v>210</v>
      </c>
      <c r="M791">
        <v>200</v>
      </c>
      <c r="N791" s="1">
        <f t="shared" si="24"/>
        <v>4.7619047619047672E-2</v>
      </c>
      <c r="O791" s="1">
        <f t="shared" si="25"/>
        <v>0.95238095238095233</v>
      </c>
    </row>
    <row r="792" spans="1:15" x14ac:dyDescent="0.25">
      <c r="A792" t="s">
        <v>1965</v>
      </c>
      <c r="B792" t="s">
        <v>1966</v>
      </c>
      <c r="C792" t="s">
        <v>1967</v>
      </c>
      <c r="D792">
        <v>-2.25</v>
      </c>
      <c r="E792">
        <v>8.4700000000000006</v>
      </c>
      <c r="F792">
        <v>-4.49</v>
      </c>
      <c r="G792">
        <v>71.180000000000007</v>
      </c>
      <c r="H792">
        <v>9.57</v>
      </c>
      <c r="I792">
        <v>1</v>
      </c>
      <c r="J792">
        <v>0</v>
      </c>
      <c r="K792" t="s">
        <v>1646</v>
      </c>
      <c r="L792">
        <v>210</v>
      </c>
      <c r="M792">
        <v>200</v>
      </c>
      <c r="N792" s="1">
        <f t="shared" si="24"/>
        <v>4.7619047619047672E-2</v>
      </c>
      <c r="O792" s="1">
        <f t="shared" si="25"/>
        <v>0.95238095238095233</v>
      </c>
    </row>
    <row r="793" spans="1:15" x14ac:dyDescent="0.25">
      <c r="A793" t="s">
        <v>1968</v>
      </c>
      <c r="B793" t="s">
        <v>1961</v>
      </c>
      <c r="C793" t="s">
        <v>17</v>
      </c>
      <c r="D793">
        <v>-3.02</v>
      </c>
      <c r="E793">
        <v>7.25</v>
      </c>
      <c r="F793">
        <v>-5.99</v>
      </c>
      <c r="G793">
        <v>72.849999999999994</v>
      </c>
      <c r="H793">
        <v>0</v>
      </c>
      <c r="I793">
        <v>1.42</v>
      </c>
      <c r="J793">
        <v>5.53</v>
      </c>
      <c r="K793" t="s">
        <v>1646</v>
      </c>
      <c r="L793">
        <v>210</v>
      </c>
      <c r="M793">
        <v>202</v>
      </c>
      <c r="N793" s="1">
        <f t="shared" si="24"/>
        <v>3.8095238095238071E-2</v>
      </c>
      <c r="O793" s="1">
        <f t="shared" si="25"/>
        <v>0.96190476190476193</v>
      </c>
    </row>
    <row r="794" spans="1:15" x14ac:dyDescent="0.25">
      <c r="A794" t="s">
        <v>1969</v>
      </c>
      <c r="B794" t="s">
        <v>1970</v>
      </c>
      <c r="C794" t="s">
        <v>1971</v>
      </c>
      <c r="D794">
        <v>-4.01</v>
      </c>
      <c r="E794">
        <v>-10.49</v>
      </c>
      <c r="F794">
        <v>-7.93</v>
      </c>
      <c r="G794">
        <v>74</v>
      </c>
      <c r="H794">
        <v>0</v>
      </c>
      <c r="I794">
        <v>2</v>
      </c>
      <c r="J794">
        <v>0</v>
      </c>
      <c r="K794" t="s">
        <v>1646</v>
      </c>
      <c r="L794">
        <v>210</v>
      </c>
      <c r="M794">
        <v>202</v>
      </c>
      <c r="N794" s="1">
        <f t="shared" si="24"/>
        <v>3.8095238095238071E-2</v>
      </c>
      <c r="O794" s="1">
        <f t="shared" si="25"/>
        <v>0.96190476190476193</v>
      </c>
    </row>
    <row r="795" spans="1:15" x14ac:dyDescent="0.25">
      <c r="A795" t="s">
        <v>1972</v>
      </c>
      <c r="B795" t="s">
        <v>1973</v>
      </c>
      <c r="C795" t="s">
        <v>1701</v>
      </c>
      <c r="D795">
        <v>-7.33</v>
      </c>
      <c r="E795">
        <v>8.6300000000000008</v>
      </c>
      <c r="F795">
        <v>-14.24</v>
      </c>
      <c r="G795">
        <v>93</v>
      </c>
      <c r="H795">
        <v>0</v>
      </c>
      <c r="I795">
        <v>1</v>
      </c>
      <c r="J795">
        <v>0</v>
      </c>
      <c r="K795" t="s">
        <v>1646</v>
      </c>
      <c r="L795">
        <v>210</v>
      </c>
      <c r="M795">
        <v>206</v>
      </c>
      <c r="N795" s="1">
        <f t="shared" si="24"/>
        <v>1.9047619047619091E-2</v>
      </c>
      <c r="O795" s="1">
        <f t="shared" si="25"/>
        <v>0.98095238095238091</v>
      </c>
    </row>
    <row r="796" spans="1:15" x14ac:dyDescent="0.25">
      <c r="A796" t="s">
        <v>1974</v>
      </c>
      <c r="B796" t="s">
        <v>1975</v>
      </c>
      <c r="C796" t="s">
        <v>1976</v>
      </c>
      <c r="D796">
        <v>-8.01</v>
      </c>
      <c r="E796">
        <v>1.28</v>
      </c>
      <c r="F796">
        <v>-15.5</v>
      </c>
      <c r="G796">
        <v>82.71</v>
      </c>
      <c r="H796">
        <v>0</v>
      </c>
      <c r="I796">
        <v>5.66</v>
      </c>
      <c r="J796">
        <v>3.93</v>
      </c>
      <c r="K796" t="s">
        <v>1646</v>
      </c>
      <c r="L796">
        <v>210</v>
      </c>
      <c r="M796">
        <v>206</v>
      </c>
      <c r="N796" s="1">
        <f t="shared" si="24"/>
        <v>1.9047619047619091E-2</v>
      </c>
      <c r="O796" s="1">
        <f t="shared" si="25"/>
        <v>0.98095238095238091</v>
      </c>
    </row>
    <row r="797" spans="1:15" x14ac:dyDescent="0.25">
      <c r="A797" t="s">
        <v>1977</v>
      </c>
      <c r="B797" t="s">
        <v>1978</v>
      </c>
      <c r="C797" t="s">
        <v>1979</v>
      </c>
      <c r="D797">
        <v>-8.61</v>
      </c>
      <c r="E797">
        <v>1.28</v>
      </c>
      <c r="F797">
        <v>-16.61</v>
      </c>
      <c r="G797">
        <v>87.95</v>
      </c>
      <c r="H797">
        <v>0</v>
      </c>
      <c r="I797">
        <v>5.73</v>
      </c>
      <c r="J797">
        <v>0</v>
      </c>
      <c r="K797" t="s">
        <v>1646</v>
      </c>
      <c r="L797">
        <v>210</v>
      </c>
      <c r="M797">
        <v>206</v>
      </c>
      <c r="N797" s="1">
        <f t="shared" si="24"/>
        <v>1.9047619047619091E-2</v>
      </c>
      <c r="O797" s="1">
        <f t="shared" si="25"/>
        <v>0.98095238095238091</v>
      </c>
    </row>
    <row r="798" spans="1:15" x14ac:dyDescent="0.25">
      <c r="A798" t="s">
        <v>1980</v>
      </c>
      <c r="B798" t="s">
        <v>1981</v>
      </c>
      <c r="C798" t="s">
        <v>1701</v>
      </c>
      <c r="D798">
        <v>-9.58</v>
      </c>
      <c r="E798">
        <v>8.6300000000000008</v>
      </c>
      <c r="F798">
        <v>-18.38</v>
      </c>
      <c r="G798">
        <v>86</v>
      </c>
      <c r="H798">
        <v>0</v>
      </c>
      <c r="I798">
        <v>1</v>
      </c>
      <c r="J798">
        <v>0</v>
      </c>
      <c r="K798" t="s">
        <v>1646</v>
      </c>
      <c r="L798">
        <v>210</v>
      </c>
      <c r="M798">
        <v>208</v>
      </c>
      <c r="N798" s="1">
        <f t="shared" si="24"/>
        <v>9.52380952380949E-3</v>
      </c>
      <c r="O798" s="1">
        <f t="shared" si="25"/>
        <v>0.99047619047619051</v>
      </c>
    </row>
    <row r="799" spans="1:15" x14ac:dyDescent="0.25">
      <c r="A799" t="s">
        <v>1982</v>
      </c>
      <c r="B799" t="s">
        <v>1983</v>
      </c>
      <c r="C799" t="s">
        <v>1984</v>
      </c>
      <c r="D799">
        <v>-10.93</v>
      </c>
      <c r="E799">
        <v>-10.74</v>
      </c>
      <c r="F799">
        <v>-20.82</v>
      </c>
      <c r="G799">
        <v>85.8</v>
      </c>
      <c r="H799">
        <v>0</v>
      </c>
      <c r="I799">
        <v>1</v>
      </c>
      <c r="J799">
        <v>6.6</v>
      </c>
      <c r="K799" t="s">
        <v>1646</v>
      </c>
      <c r="L799">
        <v>210</v>
      </c>
      <c r="M799">
        <v>208</v>
      </c>
      <c r="N799" s="1">
        <f t="shared" si="24"/>
        <v>9.52380952380949E-3</v>
      </c>
      <c r="O799" s="1">
        <f t="shared" si="25"/>
        <v>0.99047619047619051</v>
      </c>
    </row>
    <row r="800" spans="1:15" x14ac:dyDescent="0.25">
      <c r="A800" t="s">
        <v>1985</v>
      </c>
      <c r="B800" t="s">
        <v>1986</v>
      </c>
      <c r="C800" t="s">
        <v>1987</v>
      </c>
      <c r="D800">
        <v>-13.48</v>
      </c>
      <c r="E800">
        <v>-14.25</v>
      </c>
      <c r="F800">
        <v>-25.32</v>
      </c>
      <c r="G800">
        <v>75.2</v>
      </c>
      <c r="H800">
        <v>0</v>
      </c>
      <c r="I800">
        <v>3.26</v>
      </c>
      <c r="J800">
        <v>0</v>
      </c>
      <c r="K800" t="s">
        <v>1646</v>
      </c>
      <c r="L800">
        <v>211</v>
      </c>
      <c r="M800">
        <v>211</v>
      </c>
      <c r="N800" s="1">
        <f t="shared" si="24"/>
        <v>0</v>
      </c>
      <c r="O800" s="1">
        <f t="shared" si="25"/>
        <v>1</v>
      </c>
    </row>
    <row r="801" spans="1:15" x14ac:dyDescent="0.25">
      <c r="A801" t="s">
        <v>1988</v>
      </c>
      <c r="B801" t="s">
        <v>1989</v>
      </c>
      <c r="C801" t="s">
        <v>24</v>
      </c>
      <c r="D801">
        <v>-16.68</v>
      </c>
      <c r="E801">
        <v>8.4700000000000006</v>
      </c>
      <c r="F801">
        <v>-30.79</v>
      </c>
      <c r="G801">
        <v>79.5</v>
      </c>
      <c r="H801">
        <v>0</v>
      </c>
      <c r="I801">
        <v>1.5</v>
      </c>
      <c r="J801">
        <v>0</v>
      </c>
      <c r="K801" t="s">
        <v>1646</v>
      </c>
      <c r="L801">
        <v>211</v>
      </c>
      <c r="M801">
        <v>211</v>
      </c>
      <c r="N801" s="1">
        <f t="shared" si="24"/>
        <v>0</v>
      </c>
      <c r="O801" s="1">
        <f t="shared" si="25"/>
        <v>1</v>
      </c>
    </row>
    <row r="802" spans="1:15" x14ac:dyDescent="0.25">
      <c r="A802" t="s">
        <v>1990</v>
      </c>
      <c r="B802" t="s">
        <v>1991</v>
      </c>
      <c r="C802" t="s">
        <v>1992</v>
      </c>
      <c r="D802">
        <v>69.400000000000006</v>
      </c>
      <c r="E802">
        <v>11.79</v>
      </c>
      <c r="F802">
        <v>189.48</v>
      </c>
      <c r="G802">
        <v>90</v>
      </c>
      <c r="H802">
        <v>0</v>
      </c>
      <c r="I802">
        <v>1</v>
      </c>
      <c r="J802">
        <v>0</v>
      </c>
      <c r="K802" t="s">
        <v>1993</v>
      </c>
      <c r="L802">
        <v>1</v>
      </c>
      <c r="M802">
        <v>1</v>
      </c>
      <c r="N802" s="1">
        <f t="shared" si="24"/>
        <v>0</v>
      </c>
      <c r="O802" s="1">
        <f t="shared" si="25"/>
        <v>1</v>
      </c>
    </row>
    <row r="803" spans="1:15" x14ac:dyDescent="0.25">
      <c r="A803" t="s">
        <v>1994</v>
      </c>
      <c r="B803" t="s">
        <v>1995</v>
      </c>
      <c r="C803" t="s">
        <v>1996</v>
      </c>
      <c r="D803">
        <v>67.84</v>
      </c>
      <c r="E803">
        <v>28.93</v>
      </c>
      <c r="F803">
        <v>184.14</v>
      </c>
      <c r="G803">
        <v>98</v>
      </c>
      <c r="H803">
        <v>0</v>
      </c>
      <c r="I803">
        <v>2</v>
      </c>
      <c r="J803">
        <v>16</v>
      </c>
      <c r="K803" t="s">
        <v>1993</v>
      </c>
      <c r="L803">
        <v>1</v>
      </c>
      <c r="M803">
        <v>1</v>
      </c>
      <c r="N803" s="1">
        <f t="shared" si="24"/>
        <v>0</v>
      </c>
      <c r="O803" s="1">
        <f t="shared" si="25"/>
        <v>1</v>
      </c>
    </row>
    <row r="804" spans="1:15" x14ac:dyDescent="0.25">
      <c r="A804" t="s">
        <v>1997</v>
      </c>
      <c r="B804" t="s">
        <v>1998</v>
      </c>
      <c r="C804" t="s">
        <v>1999</v>
      </c>
      <c r="D804">
        <v>67.84</v>
      </c>
      <c r="E804">
        <v>27.26</v>
      </c>
      <c r="F804">
        <v>184.14</v>
      </c>
      <c r="G804">
        <v>98</v>
      </c>
      <c r="H804">
        <v>0</v>
      </c>
      <c r="I804">
        <v>2</v>
      </c>
      <c r="J804">
        <v>16</v>
      </c>
      <c r="K804" t="s">
        <v>1993</v>
      </c>
      <c r="L804">
        <v>1</v>
      </c>
      <c r="M804">
        <v>1</v>
      </c>
      <c r="N804" s="1">
        <f t="shared" si="24"/>
        <v>0</v>
      </c>
      <c r="O804" s="1">
        <f t="shared" si="25"/>
        <v>1</v>
      </c>
    </row>
    <row r="805" spans="1:15" x14ac:dyDescent="0.25">
      <c r="A805" t="s">
        <v>2000</v>
      </c>
      <c r="B805" t="s">
        <v>1995</v>
      </c>
      <c r="C805" t="s">
        <v>2001</v>
      </c>
      <c r="D805">
        <v>64.81</v>
      </c>
      <c r="F805">
        <v>173.89</v>
      </c>
      <c r="G805">
        <v>98.52</v>
      </c>
      <c r="H805">
        <v>0</v>
      </c>
      <c r="I805">
        <v>1.48</v>
      </c>
      <c r="J805">
        <v>11.38</v>
      </c>
      <c r="K805" t="s">
        <v>1993</v>
      </c>
      <c r="L805">
        <v>1</v>
      </c>
      <c r="M805">
        <v>1</v>
      </c>
      <c r="N805" s="1">
        <f t="shared" si="24"/>
        <v>0</v>
      </c>
      <c r="O805" s="1">
        <f t="shared" si="25"/>
        <v>1</v>
      </c>
    </row>
    <row r="806" spans="1:15" x14ac:dyDescent="0.25">
      <c r="A806" t="s">
        <v>2002</v>
      </c>
      <c r="B806" t="s">
        <v>2003</v>
      </c>
      <c r="C806" t="s">
        <v>2004</v>
      </c>
      <c r="D806">
        <v>32.72</v>
      </c>
      <c r="E806">
        <v>6.58</v>
      </c>
      <c r="F806">
        <v>76.97</v>
      </c>
      <c r="G806">
        <v>76.64</v>
      </c>
      <c r="H806">
        <v>0</v>
      </c>
      <c r="I806">
        <v>3.56</v>
      </c>
      <c r="J806">
        <v>0</v>
      </c>
      <c r="K806" t="s">
        <v>1993</v>
      </c>
      <c r="L806">
        <v>1</v>
      </c>
      <c r="M806">
        <v>1</v>
      </c>
      <c r="N806" s="1">
        <f t="shared" si="24"/>
        <v>0</v>
      </c>
      <c r="O806" s="1">
        <f t="shared" si="25"/>
        <v>1</v>
      </c>
    </row>
    <row r="807" spans="1:15" x14ac:dyDescent="0.25">
      <c r="A807" t="s">
        <v>2005</v>
      </c>
      <c r="B807" t="s">
        <v>2006</v>
      </c>
      <c r="D807">
        <v>29.57</v>
      </c>
      <c r="E807">
        <v>0</v>
      </c>
      <c r="F807">
        <v>68.61</v>
      </c>
      <c r="G807">
        <v>93</v>
      </c>
      <c r="H807">
        <v>0</v>
      </c>
      <c r="I807">
        <v>2</v>
      </c>
      <c r="J807">
        <v>98</v>
      </c>
      <c r="K807" t="s">
        <v>1993</v>
      </c>
      <c r="L807">
        <v>1</v>
      </c>
      <c r="M807">
        <v>1</v>
      </c>
      <c r="N807" s="1">
        <f t="shared" si="24"/>
        <v>0</v>
      </c>
      <c r="O807" s="1">
        <f t="shared" si="25"/>
        <v>1</v>
      </c>
    </row>
    <row r="808" spans="1:15" x14ac:dyDescent="0.25">
      <c r="A808" t="s">
        <v>2007</v>
      </c>
      <c r="B808" t="s">
        <v>2008</v>
      </c>
      <c r="C808" t="s">
        <v>2009</v>
      </c>
      <c r="D808">
        <v>28.95</v>
      </c>
      <c r="E808">
        <v>6.16</v>
      </c>
      <c r="F808">
        <v>66.989999999999995</v>
      </c>
      <c r="G808">
        <v>75.959999999999994</v>
      </c>
      <c r="H808">
        <v>8.99</v>
      </c>
      <c r="I808">
        <v>1.1000000000000001</v>
      </c>
      <c r="J808">
        <v>23.25</v>
      </c>
      <c r="K808" t="s">
        <v>1993</v>
      </c>
      <c r="L808">
        <v>1</v>
      </c>
      <c r="M808">
        <v>1</v>
      </c>
      <c r="N808" s="1">
        <f t="shared" si="24"/>
        <v>0</v>
      </c>
      <c r="O808" s="1">
        <f t="shared" si="25"/>
        <v>1</v>
      </c>
    </row>
    <row r="809" spans="1:15" x14ac:dyDescent="0.25">
      <c r="A809" t="s">
        <v>2010</v>
      </c>
      <c r="B809" t="s">
        <v>2011</v>
      </c>
      <c r="C809" t="s">
        <v>2012</v>
      </c>
      <c r="D809">
        <v>25.41</v>
      </c>
      <c r="E809">
        <v>6.28</v>
      </c>
      <c r="F809">
        <v>57.87</v>
      </c>
      <c r="G809">
        <v>75</v>
      </c>
      <c r="H809">
        <v>0</v>
      </c>
      <c r="I809">
        <v>3</v>
      </c>
      <c r="J809">
        <v>13</v>
      </c>
      <c r="K809" t="s">
        <v>1993</v>
      </c>
      <c r="L809">
        <v>1</v>
      </c>
      <c r="M809">
        <v>1</v>
      </c>
      <c r="N809" s="1">
        <f t="shared" si="24"/>
        <v>0</v>
      </c>
      <c r="O809" s="1">
        <f t="shared" si="25"/>
        <v>1</v>
      </c>
    </row>
    <row r="810" spans="1:15" x14ac:dyDescent="0.25">
      <c r="A810" t="s">
        <v>2013</v>
      </c>
      <c r="B810" t="s">
        <v>2014</v>
      </c>
      <c r="C810" t="s">
        <v>2015</v>
      </c>
      <c r="D810">
        <v>25.25</v>
      </c>
      <c r="E810">
        <v>7.09</v>
      </c>
      <c r="F810">
        <v>57.45</v>
      </c>
      <c r="G810">
        <v>50.95</v>
      </c>
      <c r="H810">
        <v>0</v>
      </c>
      <c r="I810">
        <v>17.25</v>
      </c>
      <c r="J810">
        <v>22.15</v>
      </c>
      <c r="K810" t="s">
        <v>1993</v>
      </c>
      <c r="L810">
        <v>1</v>
      </c>
      <c r="M810">
        <v>1</v>
      </c>
      <c r="N810" s="1">
        <f t="shared" si="24"/>
        <v>0</v>
      </c>
      <c r="O810" s="1">
        <f t="shared" si="25"/>
        <v>1</v>
      </c>
    </row>
    <row r="811" spans="1:15" x14ac:dyDescent="0.25">
      <c r="A811" t="s">
        <v>2016</v>
      </c>
      <c r="B811" t="s">
        <v>2017</v>
      </c>
      <c r="C811" t="s">
        <v>2018</v>
      </c>
      <c r="D811">
        <v>23.81</v>
      </c>
      <c r="E811">
        <v>3.47</v>
      </c>
      <c r="F811">
        <v>53.83</v>
      </c>
      <c r="G811">
        <v>65.7</v>
      </c>
      <c r="H811">
        <v>0</v>
      </c>
      <c r="I811">
        <v>0.66</v>
      </c>
      <c r="J811">
        <v>96.43</v>
      </c>
      <c r="K811" t="s">
        <v>1993</v>
      </c>
      <c r="L811">
        <v>1</v>
      </c>
      <c r="M811">
        <v>1</v>
      </c>
      <c r="N811" s="1">
        <f t="shared" si="24"/>
        <v>0</v>
      </c>
      <c r="O811" s="1">
        <f t="shared" si="25"/>
        <v>1</v>
      </c>
    </row>
    <row r="812" spans="1:15" x14ac:dyDescent="0.25">
      <c r="A812" t="s">
        <v>2019</v>
      </c>
      <c r="B812" t="s">
        <v>2020</v>
      </c>
      <c r="C812" t="s">
        <v>2021</v>
      </c>
      <c r="D812">
        <v>23.7</v>
      </c>
      <c r="E812">
        <v>15.29</v>
      </c>
      <c r="F812">
        <v>53.55</v>
      </c>
      <c r="G812">
        <v>91</v>
      </c>
      <c r="H812">
        <v>0</v>
      </c>
      <c r="I812">
        <v>1</v>
      </c>
      <c r="J812">
        <v>26.58</v>
      </c>
      <c r="K812" t="s">
        <v>1993</v>
      </c>
      <c r="L812">
        <v>1</v>
      </c>
      <c r="M812">
        <v>1</v>
      </c>
      <c r="N812" s="1">
        <f t="shared" si="24"/>
        <v>0</v>
      </c>
      <c r="O812" s="1">
        <f t="shared" si="25"/>
        <v>1</v>
      </c>
    </row>
    <row r="813" spans="1:15" x14ac:dyDescent="0.25">
      <c r="A813" t="s">
        <v>2022</v>
      </c>
      <c r="B813" t="s">
        <v>2023</v>
      </c>
      <c r="C813" t="s">
        <v>2024</v>
      </c>
      <c r="D813">
        <v>23.22</v>
      </c>
      <c r="E813">
        <v>12.43</v>
      </c>
      <c r="F813">
        <v>52.36</v>
      </c>
      <c r="G813">
        <v>64.3</v>
      </c>
      <c r="H813">
        <v>0</v>
      </c>
      <c r="I813">
        <v>1</v>
      </c>
      <c r="J813">
        <v>64</v>
      </c>
      <c r="K813" t="s">
        <v>1993</v>
      </c>
      <c r="L813">
        <v>1</v>
      </c>
      <c r="M813">
        <v>1</v>
      </c>
      <c r="N813" s="1">
        <f t="shared" si="24"/>
        <v>0</v>
      </c>
      <c r="O813" s="1">
        <f t="shared" si="25"/>
        <v>1</v>
      </c>
    </row>
    <row r="814" spans="1:15" x14ac:dyDescent="0.25">
      <c r="A814" t="s">
        <v>2025</v>
      </c>
      <c r="B814" t="s">
        <v>2026</v>
      </c>
      <c r="C814" t="s">
        <v>2027</v>
      </c>
      <c r="D814">
        <v>20.68</v>
      </c>
      <c r="E814">
        <v>6.34</v>
      </c>
      <c r="F814">
        <v>46.09</v>
      </c>
      <c r="G814">
        <v>77</v>
      </c>
      <c r="H814">
        <v>0</v>
      </c>
      <c r="I814">
        <v>1</v>
      </c>
      <c r="J814">
        <v>11</v>
      </c>
      <c r="K814" t="s">
        <v>1993</v>
      </c>
      <c r="L814">
        <v>1</v>
      </c>
      <c r="M814">
        <v>1</v>
      </c>
      <c r="N814" s="1">
        <f t="shared" si="24"/>
        <v>0</v>
      </c>
      <c r="O814" s="1">
        <f t="shared" si="25"/>
        <v>1</v>
      </c>
    </row>
    <row r="815" spans="1:15" x14ac:dyDescent="0.25">
      <c r="A815" t="s">
        <v>2028</v>
      </c>
      <c r="B815" t="s">
        <v>2029</v>
      </c>
      <c r="C815" t="s">
        <v>2030</v>
      </c>
      <c r="D815">
        <v>19.82</v>
      </c>
      <c r="E815">
        <v>6.32</v>
      </c>
      <c r="F815">
        <v>44.01</v>
      </c>
      <c r="G815">
        <v>60.98</v>
      </c>
      <c r="H815">
        <v>6.88</v>
      </c>
      <c r="I815">
        <v>1.99</v>
      </c>
      <c r="J815">
        <v>10.42</v>
      </c>
      <c r="K815" t="s">
        <v>1993</v>
      </c>
      <c r="L815">
        <v>1</v>
      </c>
      <c r="M815">
        <v>1</v>
      </c>
      <c r="N815" s="1">
        <f t="shared" si="24"/>
        <v>0</v>
      </c>
      <c r="O815" s="1">
        <f t="shared" si="25"/>
        <v>1</v>
      </c>
    </row>
    <row r="816" spans="1:15" x14ac:dyDescent="0.25">
      <c r="A816" t="s">
        <v>2031</v>
      </c>
      <c r="B816" t="s">
        <v>2032</v>
      </c>
      <c r="D816">
        <v>19.64</v>
      </c>
      <c r="E816">
        <v>0</v>
      </c>
      <c r="F816">
        <v>43.56</v>
      </c>
      <c r="G816">
        <v>66.37</v>
      </c>
      <c r="H816">
        <v>9.06</v>
      </c>
      <c r="I816">
        <v>13.4</v>
      </c>
      <c r="J816">
        <v>15.35</v>
      </c>
      <c r="K816" t="s">
        <v>1993</v>
      </c>
      <c r="L816">
        <v>1</v>
      </c>
      <c r="M816">
        <v>1</v>
      </c>
      <c r="N816" s="1">
        <f t="shared" si="24"/>
        <v>0</v>
      </c>
      <c r="O816" s="1">
        <f t="shared" si="25"/>
        <v>1</v>
      </c>
    </row>
    <row r="817" spans="1:15" x14ac:dyDescent="0.25">
      <c r="A817" t="s">
        <v>2033</v>
      </c>
      <c r="B817" t="s">
        <v>2034</v>
      </c>
      <c r="C817" t="s">
        <v>130</v>
      </c>
      <c r="D817">
        <v>19.27</v>
      </c>
      <c r="E817">
        <v>5.93</v>
      </c>
      <c r="F817">
        <v>42.66</v>
      </c>
      <c r="G817">
        <v>82.7</v>
      </c>
      <c r="H817">
        <v>8.4</v>
      </c>
      <c r="I817">
        <v>1</v>
      </c>
      <c r="J817">
        <v>10.63</v>
      </c>
      <c r="K817" t="s">
        <v>1993</v>
      </c>
      <c r="L817">
        <v>1</v>
      </c>
      <c r="M817">
        <v>1</v>
      </c>
      <c r="N817" s="1">
        <f t="shared" si="24"/>
        <v>0</v>
      </c>
      <c r="O817" s="1">
        <f t="shared" si="25"/>
        <v>1</v>
      </c>
    </row>
    <row r="818" spans="1:15" x14ac:dyDescent="0.25">
      <c r="A818" t="s">
        <v>2035</v>
      </c>
      <c r="B818" t="s">
        <v>2036</v>
      </c>
      <c r="C818" t="s">
        <v>1779</v>
      </c>
      <c r="D818">
        <v>19.21</v>
      </c>
      <c r="E818">
        <v>10.63</v>
      </c>
      <c r="F818">
        <v>42.53</v>
      </c>
      <c r="G818">
        <v>99.36</v>
      </c>
      <c r="H818">
        <v>0</v>
      </c>
      <c r="I818">
        <v>0.64</v>
      </c>
      <c r="J818">
        <v>13.72</v>
      </c>
      <c r="K818" t="s">
        <v>1993</v>
      </c>
      <c r="L818">
        <v>1</v>
      </c>
      <c r="M818">
        <v>1</v>
      </c>
      <c r="N818" s="1">
        <f t="shared" si="24"/>
        <v>0</v>
      </c>
      <c r="O818" s="1">
        <f t="shared" si="25"/>
        <v>1</v>
      </c>
    </row>
    <row r="819" spans="1:15" x14ac:dyDescent="0.25">
      <c r="A819" t="s">
        <v>2037</v>
      </c>
      <c r="B819" t="s">
        <v>2038</v>
      </c>
      <c r="D819">
        <v>18.8</v>
      </c>
      <c r="F819">
        <v>41.55</v>
      </c>
      <c r="G819">
        <v>50.92</v>
      </c>
      <c r="H819">
        <v>30</v>
      </c>
      <c r="I819">
        <v>5.95</v>
      </c>
      <c r="J819">
        <v>0</v>
      </c>
      <c r="K819" t="s">
        <v>1993</v>
      </c>
      <c r="L819">
        <v>1</v>
      </c>
      <c r="M819">
        <v>1</v>
      </c>
      <c r="N819" s="1">
        <f t="shared" si="24"/>
        <v>0</v>
      </c>
      <c r="O819" s="1">
        <f t="shared" si="25"/>
        <v>1</v>
      </c>
    </row>
    <row r="820" spans="1:15" x14ac:dyDescent="0.25">
      <c r="A820" t="s">
        <v>2039</v>
      </c>
      <c r="B820" t="s">
        <v>2040</v>
      </c>
      <c r="C820" t="s">
        <v>2041</v>
      </c>
      <c r="D820">
        <v>18.55</v>
      </c>
      <c r="E820">
        <v>6.46</v>
      </c>
      <c r="F820">
        <v>40.950000000000003</v>
      </c>
      <c r="G820">
        <v>73.95</v>
      </c>
      <c r="H820">
        <v>0</v>
      </c>
      <c r="I820">
        <v>10</v>
      </c>
      <c r="J820">
        <v>90</v>
      </c>
      <c r="K820" t="s">
        <v>1993</v>
      </c>
      <c r="L820">
        <v>1</v>
      </c>
      <c r="M820">
        <v>1</v>
      </c>
      <c r="N820" s="1">
        <f t="shared" si="24"/>
        <v>0</v>
      </c>
      <c r="O820" s="1">
        <f t="shared" si="25"/>
        <v>1</v>
      </c>
    </row>
    <row r="821" spans="1:15" x14ac:dyDescent="0.25">
      <c r="A821" t="s">
        <v>2042</v>
      </c>
      <c r="B821" t="s">
        <v>2043</v>
      </c>
      <c r="C821" t="s">
        <v>2044</v>
      </c>
      <c r="D821">
        <v>18.350000000000001</v>
      </c>
      <c r="E821">
        <v>5.54</v>
      </c>
      <c r="F821">
        <v>40.46</v>
      </c>
      <c r="G821">
        <v>51.37</v>
      </c>
      <c r="H821">
        <v>29.87</v>
      </c>
      <c r="I821">
        <v>5.72</v>
      </c>
      <c r="J821">
        <v>0</v>
      </c>
      <c r="K821" t="s">
        <v>1993</v>
      </c>
      <c r="L821">
        <v>1</v>
      </c>
      <c r="M821">
        <v>1</v>
      </c>
      <c r="N821" s="1">
        <f t="shared" si="24"/>
        <v>0</v>
      </c>
      <c r="O821" s="1">
        <f t="shared" si="25"/>
        <v>1</v>
      </c>
    </row>
    <row r="822" spans="1:15" x14ac:dyDescent="0.25">
      <c r="A822" t="s">
        <v>2045</v>
      </c>
      <c r="B822" t="s">
        <v>2046</v>
      </c>
      <c r="C822" t="s">
        <v>130</v>
      </c>
      <c r="D822">
        <v>18.3</v>
      </c>
      <c r="E822">
        <v>5.93</v>
      </c>
      <c r="F822">
        <v>40.35</v>
      </c>
      <c r="G822">
        <v>76.819999999999993</v>
      </c>
      <c r="H822">
        <v>10</v>
      </c>
      <c r="I822">
        <v>1</v>
      </c>
      <c r="J822">
        <v>12.5</v>
      </c>
      <c r="K822" t="s">
        <v>1993</v>
      </c>
      <c r="L822">
        <v>1</v>
      </c>
      <c r="M822">
        <v>1</v>
      </c>
      <c r="N822" s="1">
        <f t="shared" si="24"/>
        <v>0</v>
      </c>
      <c r="O822" s="1">
        <f t="shared" si="25"/>
        <v>1</v>
      </c>
    </row>
    <row r="823" spans="1:15" x14ac:dyDescent="0.25">
      <c r="A823" t="s">
        <v>2047</v>
      </c>
      <c r="B823" t="s">
        <v>2048</v>
      </c>
      <c r="C823" t="s">
        <v>2049</v>
      </c>
      <c r="D823">
        <v>17.53</v>
      </c>
      <c r="E823">
        <v>6.29</v>
      </c>
      <c r="F823">
        <v>38.51</v>
      </c>
      <c r="G823">
        <v>79.05</v>
      </c>
      <c r="H823">
        <v>0</v>
      </c>
      <c r="I823">
        <v>7.51</v>
      </c>
      <c r="J823">
        <v>0</v>
      </c>
      <c r="K823" t="s">
        <v>1993</v>
      </c>
      <c r="L823">
        <v>1</v>
      </c>
      <c r="M823">
        <v>1</v>
      </c>
      <c r="N823" s="1">
        <f t="shared" si="24"/>
        <v>0</v>
      </c>
      <c r="O823" s="1">
        <f t="shared" si="25"/>
        <v>1</v>
      </c>
    </row>
    <row r="824" spans="1:15" x14ac:dyDescent="0.25">
      <c r="A824" t="s">
        <v>2050</v>
      </c>
      <c r="B824" t="s">
        <v>2051</v>
      </c>
      <c r="C824" t="s">
        <v>1845</v>
      </c>
      <c r="D824">
        <v>17.329999999999998</v>
      </c>
      <c r="E824">
        <v>8.91</v>
      </c>
      <c r="F824">
        <v>38.03</v>
      </c>
      <c r="G824">
        <v>90</v>
      </c>
      <c r="H824">
        <v>0</v>
      </c>
      <c r="I824">
        <v>5</v>
      </c>
      <c r="J824">
        <v>35</v>
      </c>
      <c r="K824" t="s">
        <v>1993</v>
      </c>
      <c r="L824">
        <v>1</v>
      </c>
      <c r="M824">
        <v>1</v>
      </c>
      <c r="N824" s="1">
        <f t="shared" si="24"/>
        <v>0</v>
      </c>
      <c r="O824" s="1">
        <f t="shared" si="25"/>
        <v>1</v>
      </c>
    </row>
    <row r="825" spans="1:15" x14ac:dyDescent="0.25">
      <c r="A825" t="s">
        <v>2052</v>
      </c>
      <c r="B825" t="s">
        <v>2053</v>
      </c>
      <c r="C825" t="s">
        <v>1887</v>
      </c>
      <c r="D825">
        <v>17.239999999999998</v>
      </c>
      <c r="E825">
        <v>6.26</v>
      </c>
      <c r="F825">
        <v>37.81</v>
      </c>
      <c r="G825">
        <v>83</v>
      </c>
      <c r="H825">
        <v>5</v>
      </c>
      <c r="I825">
        <v>3</v>
      </c>
      <c r="J825">
        <v>10</v>
      </c>
      <c r="K825" t="s">
        <v>1993</v>
      </c>
      <c r="L825">
        <v>1</v>
      </c>
      <c r="M825">
        <v>1</v>
      </c>
      <c r="N825" s="1">
        <f t="shared" si="24"/>
        <v>0</v>
      </c>
      <c r="O825" s="1">
        <f t="shared" si="25"/>
        <v>1</v>
      </c>
    </row>
    <row r="826" spans="1:15" x14ac:dyDescent="0.25">
      <c r="A826" t="s">
        <v>2054</v>
      </c>
      <c r="B826" t="s">
        <v>2055</v>
      </c>
      <c r="C826" t="s">
        <v>2056</v>
      </c>
      <c r="D826">
        <v>17.12</v>
      </c>
      <c r="E826">
        <v>6.48</v>
      </c>
      <c r="F826">
        <v>37.53</v>
      </c>
      <c r="G826">
        <v>76.959999999999994</v>
      </c>
      <c r="H826">
        <v>15.54</v>
      </c>
      <c r="I826">
        <v>1.5</v>
      </c>
      <c r="J826">
        <v>64.959999999999994</v>
      </c>
      <c r="K826" t="s">
        <v>1993</v>
      </c>
      <c r="L826">
        <v>1</v>
      </c>
      <c r="M826">
        <v>1</v>
      </c>
      <c r="N826" s="1">
        <f t="shared" si="24"/>
        <v>0</v>
      </c>
      <c r="O826" s="1">
        <f t="shared" si="25"/>
        <v>1</v>
      </c>
    </row>
    <row r="827" spans="1:15" x14ac:dyDescent="0.25">
      <c r="A827" t="s">
        <v>2057</v>
      </c>
      <c r="B827" t="s">
        <v>2058</v>
      </c>
      <c r="C827" t="s">
        <v>2059</v>
      </c>
      <c r="D827">
        <v>16.87</v>
      </c>
      <c r="E827">
        <v>9.66</v>
      </c>
      <c r="F827">
        <v>36.93</v>
      </c>
      <c r="G827">
        <v>84</v>
      </c>
      <c r="H827">
        <v>0</v>
      </c>
      <c r="I827">
        <v>1</v>
      </c>
      <c r="J827">
        <v>99</v>
      </c>
      <c r="K827" t="s">
        <v>1993</v>
      </c>
      <c r="L827">
        <v>1</v>
      </c>
      <c r="M827">
        <v>1</v>
      </c>
      <c r="N827" s="1">
        <f t="shared" si="24"/>
        <v>0</v>
      </c>
      <c r="O827" s="1">
        <f t="shared" si="25"/>
        <v>1</v>
      </c>
    </row>
    <row r="828" spans="1:15" x14ac:dyDescent="0.25">
      <c r="A828" t="s">
        <v>2060</v>
      </c>
      <c r="B828" t="s">
        <v>2061</v>
      </c>
      <c r="C828" t="s">
        <v>65</v>
      </c>
      <c r="D828">
        <v>16.73</v>
      </c>
      <c r="E828">
        <v>8.16</v>
      </c>
      <c r="F828">
        <v>36.619999999999997</v>
      </c>
      <c r="G828">
        <v>88.5</v>
      </c>
      <c r="H828">
        <v>10</v>
      </c>
      <c r="I828">
        <v>1.5</v>
      </c>
      <c r="J828">
        <v>28</v>
      </c>
      <c r="K828" t="s">
        <v>1993</v>
      </c>
      <c r="L828">
        <v>1</v>
      </c>
      <c r="M828">
        <v>1</v>
      </c>
      <c r="N828" s="1">
        <f t="shared" si="24"/>
        <v>0</v>
      </c>
      <c r="O828" s="1">
        <f t="shared" si="25"/>
        <v>1</v>
      </c>
    </row>
    <row r="829" spans="1:15" x14ac:dyDescent="0.25">
      <c r="A829" t="s">
        <v>2062</v>
      </c>
      <c r="B829" t="s">
        <v>2063</v>
      </c>
      <c r="D829">
        <v>16.48</v>
      </c>
      <c r="E829">
        <v>0</v>
      </c>
      <c r="F829">
        <v>36.020000000000003</v>
      </c>
      <c r="G829">
        <v>71.2</v>
      </c>
      <c r="H829">
        <v>0</v>
      </c>
      <c r="I829">
        <v>0.98</v>
      </c>
      <c r="J829">
        <v>34.880000000000003</v>
      </c>
      <c r="K829" t="s">
        <v>1993</v>
      </c>
      <c r="L829">
        <v>1</v>
      </c>
      <c r="M829">
        <v>1</v>
      </c>
      <c r="N829" s="1">
        <f t="shared" si="24"/>
        <v>0</v>
      </c>
      <c r="O829" s="1">
        <f t="shared" si="25"/>
        <v>1</v>
      </c>
    </row>
    <row r="830" spans="1:15" x14ac:dyDescent="0.25">
      <c r="A830" t="s">
        <v>2064</v>
      </c>
      <c r="B830" t="s">
        <v>2065</v>
      </c>
      <c r="C830" t="s">
        <v>2066</v>
      </c>
      <c r="D830">
        <v>16.170000000000002</v>
      </c>
      <c r="E830">
        <v>14.77</v>
      </c>
      <c r="F830">
        <v>35.29</v>
      </c>
      <c r="G830">
        <v>86.62</v>
      </c>
      <c r="H830">
        <v>0</v>
      </c>
      <c r="I830">
        <v>2</v>
      </c>
      <c r="J830">
        <v>6</v>
      </c>
      <c r="K830" t="s">
        <v>1993</v>
      </c>
      <c r="L830">
        <v>1</v>
      </c>
      <c r="M830">
        <v>1</v>
      </c>
      <c r="N830" s="1">
        <f t="shared" si="24"/>
        <v>0</v>
      </c>
      <c r="O830" s="1">
        <f t="shared" si="25"/>
        <v>1</v>
      </c>
    </row>
    <row r="831" spans="1:15" x14ac:dyDescent="0.25">
      <c r="A831" t="s">
        <v>2067</v>
      </c>
      <c r="B831" t="s">
        <v>2068</v>
      </c>
      <c r="C831" t="s">
        <v>2069</v>
      </c>
      <c r="D831">
        <v>16.05</v>
      </c>
      <c r="E831">
        <v>0.02</v>
      </c>
      <c r="F831">
        <v>35.020000000000003</v>
      </c>
      <c r="G831">
        <v>89.17</v>
      </c>
      <c r="H831">
        <v>0</v>
      </c>
      <c r="I831">
        <v>0.83</v>
      </c>
      <c r="J831">
        <v>99.17</v>
      </c>
      <c r="K831" t="s">
        <v>1993</v>
      </c>
      <c r="L831">
        <v>1</v>
      </c>
      <c r="M831">
        <v>1</v>
      </c>
      <c r="N831" s="1">
        <f t="shared" si="24"/>
        <v>0</v>
      </c>
      <c r="O831" s="1">
        <f t="shared" si="25"/>
        <v>1</v>
      </c>
    </row>
    <row r="832" spans="1:15" x14ac:dyDescent="0.25">
      <c r="A832" t="s">
        <v>2070</v>
      </c>
      <c r="B832" t="s">
        <v>2071</v>
      </c>
      <c r="C832" t="s">
        <v>2072</v>
      </c>
      <c r="D832">
        <v>14.89</v>
      </c>
      <c r="E832">
        <v>0</v>
      </c>
      <c r="F832">
        <v>32.29</v>
      </c>
      <c r="G832">
        <v>60.05</v>
      </c>
      <c r="H832">
        <v>32.11</v>
      </c>
      <c r="I832">
        <v>1.37</v>
      </c>
      <c r="J832">
        <v>20.55</v>
      </c>
      <c r="K832" t="s">
        <v>1993</v>
      </c>
      <c r="L832">
        <v>1</v>
      </c>
      <c r="M832">
        <v>1</v>
      </c>
      <c r="N832" s="1">
        <f t="shared" si="24"/>
        <v>0</v>
      </c>
      <c r="O832" s="1">
        <f t="shared" si="25"/>
        <v>1</v>
      </c>
    </row>
    <row r="833" spans="1:15" x14ac:dyDescent="0.25">
      <c r="A833" t="s">
        <v>2073</v>
      </c>
      <c r="B833" t="s">
        <v>2074</v>
      </c>
      <c r="C833" t="s">
        <v>2075</v>
      </c>
      <c r="D833">
        <v>14.89</v>
      </c>
      <c r="E833">
        <v>9.51</v>
      </c>
      <c r="F833">
        <v>32.31</v>
      </c>
      <c r="G833">
        <v>45.3</v>
      </c>
      <c r="H833">
        <v>32.409999999999997</v>
      </c>
      <c r="I833">
        <v>0.93</v>
      </c>
      <c r="J833">
        <v>0</v>
      </c>
      <c r="K833" t="s">
        <v>1993</v>
      </c>
      <c r="L833">
        <v>1</v>
      </c>
      <c r="M833">
        <v>1</v>
      </c>
      <c r="N833" s="1">
        <f t="shared" si="24"/>
        <v>0</v>
      </c>
      <c r="O833" s="1">
        <f t="shared" si="25"/>
        <v>1</v>
      </c>
    </row>
    <row r="834" spans="1:15" x14ac:dyDescent="0.25">
      <c r="A834" t="s">
        <v>2076</v>
      </c>
      <c r="B834" t="s">
        <v>2077</v>
      </c>
      <c r="C834" t="s">
        <v>97</v>
      </c>
      <c r="D834">
        <v>14.62</v>
      </c>
      <c r="E834">
        <v>8.6300000000000008</v>
      </c>
      <c r="F834">
        <v>31.67</v>
      </c>
      <c r="G834">
        <v>85.4</v>
      </c>
      <c r="H834">
        <v>0</v>
      </c>
      <c r="I834">
        <v>1.6</v>
      </c>
      <c r="J834">
        <v>29.9</v>
      </c>
      <c r="K834" t="s">
        <v>1993</v>
      </c>
      <c r="L834">
        <v>1</v>
      </c>
      <c r="M834">
        <v>1</v>
      </c>
      <c r="N834" s="1">
        <f t="shared" ref="N834:N897" si="26">1-O834</f>
        <v>0</v>
      </c>
      <c r="O834" s="1">
        <f t="shared" ref="O834:O897" si="27">M834/L834</f>
        <v>1</v>
      </c>
    </row>
    <row r="835" spans="1:15" x14ac:dyDescent="0.25">
      <c r="A835" t="s">
        <v>2078</v>
      </c>
      <c r="B835" t="s">
        <v>2079</v>
      </c>
      <c r="C835" t="s">
        <v>2080</v>
      </c>
      <c r="D835">
        <v>14.57</v>
      </c>
      <c r="E835">
        <v>0.57999999999999996</v>
      </c>
      <c r="F835">
        <v>31.55</v>
      </c>
      <c r="G835">
        <v>74.69</v>
      </c>
      <c r="H835">
        <v>16.98</v>
      </c>
      <c r="I835">
        <v>0.88</v>
      </c>
      <c r="J835">
        <v>28.2</v>
      </c>
      <c r="K835" t="s">
        <v>1993</v>
      </c>
      <c r="L835">
        <v>1</v>
      </c>
      <c r="M835">
        <v>1</v>
      </c>
      <c r="N835" s="1">
        <f t="shared" si="26"/>
        <v>0</v>
      </c>
      <c r="O835" s="1">
        <f t="shared" si="27"/>
        <v>1</v>
      </c>
    </row>
    <row r="836" spans="1:15" x14ac:dyDescent="0.25">
      <c r="A836" t="s">
        <v>2081</v>
      </c>
      <c r="B836" t="s">
        <v>2082</v>
      </c>
      <c r="C836" t="s">
        <v>2083</v>
      </c>
      <c r="D836">
        <v>14.34</v>
      </c>
      <c r="E836">
        <v>13.68</v>
      </c>
      <c r="F836">
        <v>31.03</v>
      </c>
      <c r="G836">
        <v>66.959999999999994</v>
      </c>
      <c r="H836">
        <v>0</v>
      </c>
      <c r="I836">
        <v>0.92</v>
      </c>
      <c r="J836">
        <v>4.54</v>
      </c>
      <c r="K836" t="s">
        <v>1993</v>
      </c>
      <c r="L836">
        <v>1</v>
      </c>
      <c r="M836">
        <v>1</v>
      </c>
      <c r="N836" s="1">
        <f t="shared" si="26"/>
        <v>0</v>
      </c>
      <c r="O836" s="1">
        <f t="shared" si="27"/>
        <v>1</v>
      </c>
    </row>
    <row r="837" spans="1:15" x14ac:dyDescent="0.25">
      <c r="A837" t="s">
        <v>2084</v>
      </c>
      <c r="B837" t="s">
        <v>2085</v>
      </c>
      <c r="C837" t="s">
        <v>2086</v>
      </c>
      <c r="D837">
        <v>14</v>
      </c>
      <c r="E837">
        <v>9.51</v>
      </c>
      <c r="F837">
        <v>30.24</v>
      </c>
      <c r="G837">
        <v>99.09</v>
      </c>
      <c r="H837">
        <v>0</v>
      </c>
      <c r="I837">
        <v>0.9</v>
      </c>
      <c r="J837">
        <v>99.09</v>
      </c>
      <c r="K837" t="s">
        <v>1993</v>
      </c>
      <c r="L837">
        <v>1</v>
      </c>
      <c r="M837">
        <v>1</v>
      </c>
      <c r="N837" s="1">
        <f t="shared" si="26"/>
        <v>0</v>
      </c>
      <c r="O837" s="1">
        <f t="shared" si="27"/>
        <v>1</v>
      </c>
    </row>
    <row r="838" spans="1:15" x14ac:dyDescent="0.25">
      <c r="A838" t="s">
        <v>2087</v>
      </c>
      <c r="B838" t="s">
        <v>2088</v>
      </c>
      <c r="C838" t="s">
        <v>2089</v>
      </c>
      <c r="D838">
        <v>13.68</v>
      </c>
      <c r="E838">
        <v>8.0399999999999991</v>
      </c>
      <c r="F838">
        <v>29.5</v>
      </c>
      <c r="G838">
        <v>83</v>
      </c>
      <c r="H838">
        <v>15</v>
      </c>
      <c r="I838">
        <v>2</v>
      </c>
      <c r="J838">
        <v>23</v>
      </c>
      <c r="K838" t="s">
        <v>1993</v>
      </c>
      <c r="L838">
        <v>1</v>
      </c>
      <c r="M838">
        <v>1</v>
      </c>
      <c r="N838" s="1">
        <f t="shared" si="26"/>
        <v>0</v>
      </c>
      <c r="O838" s="1">
        <f t="shared" si="27"/>
        <v>1</v>
      </c>
    </row>
    <row r="839" spans="1:15" x14ac:dyDescent="0.25">
      <c r="A839" t="s">
        <v>2090</v>
      </c>
      <c r="B839" t="s">
        <v>2091</v>
      </c>
      <c r="C839" t="s">
        <v>2092</v>
      </c>
      <c r="D839">
        <v>13.57</v>
      </c>
      <c r="E839">
        <v>9.01</v>
      </c>
      <c r="F839">
        <v>29.25</v>
      </c>
      <c r="G839">
        <v>83</v>
      </c>
      <c r="H839">
        <v>0</v>
      </c>
      <c r="I839">
        <v>7</v>
      </c>
      <c r="J839">
        <v>93</v>
      </c>
      <c r="K839" t="s">
        <v>1993</v>
      </c>
      <c r="L839">
        <v>1</v>
      </c>
      <c r="M839">
        <v>1</v>
      </c>
      <c r="N839" s="1">
        <f t="shared" si="26"/>
        <v>0</v>
      </c>
      <c r="O839" s="1">
        <f t="shared" si="27"/>
        <v>1</v>
      </c>
    </row>
    <row r="840" spans="1:15" x14ac:dyDescent="0.25">
      <c r="A840" t="s">
        <v>2093</v>
      </c>
      <c r="B840" t="s">
        <v>2094</v>
      </c>
      <c r="C840" t="s">
        <v>2095</v>
      </c>
      <c r="D840">
        <v>13.39</v>
      </c>
      <c r="E840">
        <v>6.28</v>
      </c>
      <c r="F840">
        <v>28.84</v>
      </c>
      <c r="G840">
        <v>76.59</v>
      </c>
      <c r="H840">
        <v>0</v>
      </c>
      <c r="I840">
        <v>1.2</v>
      </c>
      <c r="J840">
        <v>13.52</v>
      </c>
      <c r="K840" t="s">
        <v>1993</v>
      </c>
      <c r="L840">
        <v>1</v>
      </c>
      <c r="M840">
        <v>1</v>
      </c>
      <c r="N840" s="1">
        <f t="shared" si="26"/>
        <v>0</v>
      </c>
      <c r="O840" s="1">
        <f t="shared" si="27"/>
        <v>1</v>
      </c>
    </row>
    <row r="841" spans="1:15" x14ac:dyDescent="0.25">
      <c r="A841" t="s">
        <v>2096</v>
      </c>
      <c r="B841" t="s">
        <v>2097</v>
      </c>
      <c r="C841" t="s">
        <v>2098</v>
      </c>
      <c r="D841">
        <v>13.06</v>
      </c>
      <c r="E841">
        <v>2.34</v>
      </c>
      <c r="F841">
        <v>28.08</v>
      </c>
      <c r="G841">
        <v>81</v>
      </c>
      <c r="H841">
        <v>0</v>
      </c>
      <c r="I841">
        <v>1</v>
      </c>
      <c r="J841">
        <v>20</v>
      </c>
      <c r="K841" t="s">
        <v>1993</v>
      </c>
      <c r="L841">
        <v>1</v>
      </c>
      <c r="M841">
        <v>1</v>
      </c>
      <c r="N841" s="1">
        <f t="shared" si="26"/>
        <v>0</v>
      </c>
      <c r="O841" s="1">
        <f t="shared" si="27"/>
        <v>1</v>
      </c>
    </row>
    <row r="842" spans="1:15" x14ac:dyDescent="0.25">
      <c r="A842" t="s">
        <v>2099</v>
      </c>
      <c r="B842" t="s">
        <v>2100</v>
      </c>
      <c r="C842" t="s">
        <v>2101</v>
      </c>
      <c r="D842">
        <v>12.89</v>
      </c>
      <c r="E842">
        <v>8.91</v>
      </c>
      <c r="F842">
        <v>27.69</v>
      </c>
      <c r="G842">
        <v>98.5</v>
      </c>
      <c r="H842">
        <v>0</v>
      </c>
      <c r="I842">
        <v>1.5</v>
      </c>
      <c r="J842">
        <v>36</v>
      </c>
      <c r="K842" t="s">
        <v>1993</v>
      </c>
      <c r="L842">
        <v>1</v>
      </c>
      <c r="M842">
        <v>1</v>
      </c>
      <c r="N842" s="1">
        <f t="shared" si="26"/>
        <v>0</v>
      </c>
      <c r="O842" s="1">
        <f t="shared" si="27"/>
        <v>1</v>
      </c>
    </row>
    <row r="843" spans="1:15" x14ac:dyDescent="0.25">
      <c r="A843" t="s">
        <v>2102</v>
      </c>
      <c r="B843" t="s">
        <v>2103</v>
      </c>
      <c r="C843" t="s">
        <v>2080</v>
      </c>
      <c r="D843">
        <v>12.57</v>
      </c>
      <c r="E843">
        <v>0.56999999999999995</v>
      </c>
      <c r="F843">
        <v>26.98</v>
      </c>
      <c r="G843">
        <v>74.27</v>
      </c>
      <c r="H843">
        <v>17.260000000000002</v>
      </c>
      <c r="I843">
        <v>0.89</v>
      </c>
      <c r="J843">
        <v>26.99</v>
      </c>
      <c r="K843" t="s">
        <v>1993</v>
      </c>
      <c r="L843">
        <v>1</v>
      </c>
      <c r="M843">
        <v>1</v>
      </c>
      <c r="N843" s="1">
        <f t="shared" si="26"/>
        <v>0</v>
      </c>
      <c r="O843" s="1">
        <f t="shared" si="27"/>
        <v>1</v>
      </c>
    </row>
    <row r="844" spans="1:15" x14ac:dyDescent="0.25">
      <c r="A844" t="s">
        <v>2104</v>
      </c>
      <c r="B844" t="s">
        <v>2105</v>
      </c>
      <c r="C844" t="s">
        <v>2106</v>
      </c>
      <c r="D844">
        <v>12.54</v>
      </c>
      <c r="E844">
        <v>9.8000000000000007</v>
      </c>
      <c r="F844">
        <v>26.91</v>
      </c>
      <c r="G844">
        <v>83.79</v>
      </c>
      <c r="H844">
        <v>0</v>
      </c>
      <c r="I844">
        <v>9.0299999999999994</v>
      </c>
      <c r="J844">
        <v>49.34</v>
      </c>
      <c r="K844" t="s">
        <v>1993</v>
      </c>
      <c r="L844">
        <v>1</v>
      </c>
      <c r="M844">
        <v>1</v>
      </c>
      <c r="N844" s="1">
        <f t="shared" si="26"/>
        <v>0</v>
      </c>
      <c r="O844" s="1">
        <f t="shared" si="27"/>
        <v>1</v>
      </c>
    </row>
    <row r="845" spans="1:15" x14ac:dyDescent="0.25">
      <c r="A845" t="s">
        <v>2107</v>
      </c>
      <c r="B845" t="s">
        <v>2108</v>
      </c>
      <c r="C845" t="s">
        <v>2109</v>
      </c>
      <c r="D845">
        <v>12.51</v>
      </c>
      <c r="E845">
        <v>7.61</v>
      </c>
      <c r="F845">
        <v>26.83</v>
      </c>
      <c r="G845">
        <v>70</v>
      </c>
      <c r="H845">
        <v>0</v>
      </c>
      <c r="I845">
        <v>1</v>
      </c>
      <c r="J845">
        <v>18</v>
      </c>
      <c r="K845" t="s">
        <v>1993</v>
      </c>
      <c r="L845">
        <v>1</v>
      </c>
      <c r="M845">
        <v>1</v>
      </c>
      <c r="N845" s="1">
        <f t="shared" si="26"/>
        <v>0</v>
      </c>
      <c r="O845" s="1">
        <f t="shared" si="27"/>
        <v>1</v>
      </c>
    </row>
    <row r="846" spans="1:15" x14ac:dyDescent="0.25">
      <c r="A846" t="s">
        <v>2110</v>
      </c>
      <c r="B846" t="s">
        <v>2111</v>
      </c>
      <c r="C846" t="s">
        <v>2112</v>
      </c>
      <c r="D846">
        <v>12.51</v>
      </c>
      <c r="E846">
        <v>7.6</v>
      </c>
      <c r="F846">
        <v>26.83</v>
      </c>
      <c r="G846">
        <v>70</v>
      </c>
      <c r="H846">
        <v>0</v>
      </c>
      <c r="I846">
        <v>1</v>
      </c>
      <c r="J846">
        <v>18</v>
      </c>
      <c r="K846" t="s">
        <v>1993</v>
      </c>
      <c r="L846">
        <v>1</v>
      </c>
      <c r="M846">
        <v>1</v>
      </c>
      <c r="N846" s="1">
        <f t="shared" si="26"/>
        <v>0</v>
      </c>
      <c r="O846" s="1">
        <f t="shared" si="27"/>
        <v>1</v>
      </c>
    </row>
    <row r="847" spans="1:15" x14ac:dyDescent="0.25">
      <c r="A847" t="s">
        <v>2113</v>
      </c>
      <c r="B847" t="s">
        <v>2114</v>
      </c>
      <c r="C847" t="s">
        <v>105</v>
      </c>
      <c r="D847">
        <v>12.02</v>
      </c>
      <c r="E847">
        <v>8.48</v>
      </c>
      <c r="F847">
        <v>25.73</v>
      </c>
      <c r="G847">
        <v>65</v>
      </c>
      <c r="H847">
        <v>0</v>
      </c>
      <c r="I847">
        <v>10</v>
      </c>
      <c r="J847">
        <v>10</v>
      </c>
      <c r="K847" t="s">
        <v>1993</v>
      </c>
      <c r="L847">
        <v>1</v>
      </c>
      <c r="M847">
        <v>1</v>
      </c>
      <c r="N847" s="1">
        <f t="shared" si="26"/>
        <v>0</v>
      </c>
      <c r="O847" s="1">
        <f t="shared" si="27"/>
        <v>1</v>
      </c>
    </row>
    <row r="848" spans="1:15" x14ac:dyDescent="0.25">
      <c r="A848" t="s">
        <v>2115</v>
      </c>
      <c r="B848" t="s">
        <v>2116</v>
      </c>
      <c r="C848" t="s">
        <v>2117</v>
      </c>
      <c r="D848">
        <v>11.96</v>
      </c>
      <c r="E848">
        <v>5.68</v>
      </c>
      <c r="F848">
        <v>25.59</v>
      </c>
      <c r="G848">
        <v>83</v>
      </c>
      <c r="H848">
        <v>0</v>
      </c>
      <c r="I848">
        <v>1</v>
      </c>
      <c r="J848">
        <v>20</v>
      </c>
      <c r="K848" t="s">
        <v>1993</v>
      </c>
      <c r="L848">
        <v>1</v>
      </c>
      <c r="M848">
        <v>1</v>
      </c>
      <c r="N848" s="1">
        <f t="shared" si="26"/>
        <v>0</v>
      </c>
      <c r="O848" s="1">
        <f t="shared" si="27"/>
        <v>1</v>
      </c>
    </row>
    <row r="849" spans="1:15" x14ac:dyDescent="0.25">
      <c r="A849" t="s">
        <v>2118</v>
      </c>
      <c r="B849" t="s">
        <v>2119</v>
      </c>
      <c r="D849">
        <v>11.84</v>
      </c>
      <c r="F849">
        <v>25.3</v>
      </c>
      <c r="G849">
        <v>67.680000000000007</v>
      </c>
      <c r="H849">
        <v>6</v>
      </c>
      <c r="I849">
        <v>7.04</v>
      </c>
      <c r="J849">
        <v>17</v>
      </c>
      <c r="K849" t="s">
        <v>1993</v>
      </c>
      <c r="L849">
        <v>1</v>
      </c>
      <c r="M849">
        <v>1</v>
      </c>
      <c r="N849" s="1">
        <f t="shared" si="26"/>
        <v>0</v>
      </c>
      <c r="O849" s="1">
        <f t="shared" si="27"/>
        <v>1</v>
      </c>
    </row>
    <row r="850" spans="1:15" x14ac:dyDescent="0.25">
      <c r="A850" t="s">
        <v>2120</v>
      </c>
      <c r="B850" t="s">
        <v>2121</v>
      </c>
      <c r="C850" t="s">
        <v>2122</v>
      </c>
      <c r="D850">
        <v>11.84</v>
      </c>
      <c r="E850">
        <v>7.43</v>
      </c>
      <c r="F850">
        <v>25.31</v>
      </c>
      <c r="G850">
        <v>66.349999999999994</v>
      </c>
      <c r="H850">
        <v>5.33</v>
      </c>
      <c r="I850">
        <v>6.57</v>
      </c>
      <c r="J850">
        <v>16.829999999999998</v>
      </c>
      <c r="K850" t="s">
        <v>1993</v>
      </c>
      <c r="L850">
        <v>1</v>
      </c>
      <c r="M850">
        <v>1</v>
      </c>
      <c r="N850" s="1">
        <f t="shared" si="26"/>
        <v>0</v>
      </c>
      <c r="O850" s="1">
        <f t="shared" si="27"/>
        <v>1</v>
      </c>
    </row>
    <row r="851" spans="1:15" x14ac:dyDescent="0.25">
      <c r="A851" t="s">
        <v>2123</v>
      </c>
      <c r="B851" t="s">
        <v>2124</v>
      </c>
      <c r="D851">
        <v>11.38</v>
      </c>
      <c r="E851">
        <v>0</v>
      </c>
      <c r="F851">
        <v>24.27</v>
      </c>
      <c r="G851">
        <v>36.770000000000003</v>
      </c>
      <c r="H851">
        <v>55.25</v>
      </c>
      <c r="I851">
        <v>4.0599999999999996</v>
      </c>
      <c r="J851">
        <v>22.48</v>
      </c>
      <c r="K851" t="s">
        <v>1993</v>
      </c>
      <c r="L851">
        <v>1</v>
      </c>
      <c r="M851">
        <v>1</v>
      </c>
      <c r="N851" s="1">
        <f t="shared" si="26"/>
        <v>0</v>
      </c>
      <c r="O851" s="1">
        <f t="shared" si="27"/>
        <v>1</v>
      </c>
    </row>
    <row r="852" spans="1:15" x14ac:dyDescent="0.25">
      <c r="A852" t="s">
        <v>2125</v>
      </c>
      <c r="B852" t="s">
        <v>2126</v>
      </c>
      <c r="D852">
        <v>10.83</v>
      </c>
      <c r="E852">
        <v>0</v>
      </c>
      <c r="F852">
        <v>23.05</v>
      </c>
      <c r="G852">
        <v>53.1</v>
      </c>
      <c r="H852">
        <v>10.130000000000001</v>
      </c>
      <c r="I852">
        <v>1.02</v>
      </c>
      <c r="J852">
        <v>46.16</v>
      </c>
      <c r="K852" t="s">
        <v>1993</v>
      </c>
      <c r="L852">
        <v>1</v>
      </c>
      <c r="M852">
        <v>1</v>
      </c>
      <c r="N852" s="1">
        <f t="shared" si="26"/>
        <v>0</v>
      </c>
      <c r="O852" s="1">
        <f t="shared" si="27"/>
        <v>1</v>
      </c>
    </row>
    <row r="853" spans="1:15" x14ac:dyDescent="0.25">
      <c r="A853" t="s">
        <v>2127</v>
      </c>
      <c r="B853" t="s">
        <v>2128</v>
      </c>
      <c r="D853">
        <v>10.7</v>
      </c>
      <c r="E853">
        <v>0</v>
      </c>
      <c r="F853">
        <v>22.74</v>
      </c>
      <c r="G853">
        <v>38.4</v>
      </c>
      <c r="H853">
        <v>54.27</v>
      </c>
      <c r="I853">
        <v>3.4</v>
      </c>
      <c r="J853">
        <v>23.22</v>
      </c>
      <c r="K853" t="s">
        <v>1993</v>
      </c>
      <c r="L853">
        <v>1</v>
      </c>
      <c r="M853">
        <v>1</v>
      </c>
      <c r="N853" s="1">
        <f t="shared" si="26"/>
        <v>0</v>
      </c>
      <c r="O853" s="1">
        <f t="shared" si="27"/>
        <v>1</v>
      </c>
    </row>
    <row r="854" spans="1:15" x14ac:dyDescent="0.25">
      <c r="A854" t="s">
        <v>2129</v>
      </c>
      <c r="B854" t="s">
        <v>2126</v>
      </c>
      <c r="C854" t="s">
        <v>2130</v>
      </c>
      <c r="D854">
        <v>10.59</v>
      </c>
      <c r="E854">
        <v>4.38</v>
      </c>
      <c r="F854">
        <v>22.5</v>
      </c>
      <c r="G854">
        <v>56.38</v>
      </c>
      <c r="H854">
        <v>9.31</v>
      </c>
      <c r="I854">
        <v>0.94</v>
      </c>
      <c r="J854">
        <v>45.11</v>
      </c>
      <c r="K854" t="s">
        <v>1993</v>
      </c>
      <c r="L854">
        <v>1</v>
      </c>
      <c r="M854">
        <v>1</v>
      </c>
      <c r="N854" s="1">
        <f t="shared" si="26"/>
        <v>0</v>
      </c>
      <c r="O854" s="1">
        <f t="shared" si="27"/>
        <v>1</v>
      </c>
    </row>
    <row r="855" spans="1:15" x14ac:dyDescent="0.25">
      <c r="A855" t="s">
        <v>2131</v>
      </c>
      <c r="B855" t="s">
        <v>2132</v>
      </c>
      <c r="C855" t="s">
        <v>2133</v>
      </c>
      <c r="D855">
        <v>10.55</v>
      </c>
      <c r="E855">
        <v>0</v>
      </c>
      <c r="F855">
        <v>22.41</v>
      </c>
      <c r="G855">
        <v>84</v>
      </c>
      <c r="H855">
        <v>1</v>
      </c>
      <c r="I855">
        <v>3</v>
      </c>
      <c r="J855">
        <v>80</v>
      </c>
      <c r="K855" t="s">
        <v>1993</v>
      </c>
      <c r="L855">
        <v>1</v>
      </c>
      <c r="M855">
        <v>1</v>
      </c>
      <c r="N855" s="1">
        <f t="shared" si="26"/>
        <v>0</v>
      </c>
      <c r="O855" s="1">
        <f t="shared" si="27"/>
        <v>1</v>
      </c>
    </row>
    <row r="856" spans="1:15" x14ac:dyDescent="0.25">
      <c r="A856" t="s">
        <v>2134</v>
      </c>
      <c r="B856" t="s">
        <v>2135</v>
      </c>
      <c r="C856" t="s">
        <v>2136</v>
      </c>
      <c r="D856">
        <v>10.53</v>
      </c>
      <c r="E856">
        <v>-0.25</v>
      </c>
      <c r="F856">
        <v>22.38</v>
      </c>
      <c r="G856">
        <v>73</v>
      </c>
      <c r="H856">
        <v>0</v>
      </c>
      <c r="I856">
        <v>1</v>
      </c>
      <c r="J856">
        <v>94</v>
      </c>
      <c r="K856" t="s">
        <v>1993</v>
      </c>
      <c r="L856">
        <v>1</v>
      </c>
      <c r="M856">
        <v>1</v>
      </c>
      <c r="N856" s="1">
        <f t="shared" si="26"/>
        <v>0</v>
      </c>
      <c r="O856" s="1">
        <f t="shared" si="27"/>
        <v>1</v>
      </c>
    </row>
    <row r="857" spans="1:15" x14ac:dyDescent="0.25">
      <c r="A857" t="s">
        <v>2137</v>
      </c>
      <c r="B857" t="s">
        <v>2138</v>
      </c>
      <c r="C857" t="s">
        <v>2139</v>
      </c>
      <c r="D857">
        <v>10.44</v>
      </c>
      <c r="E857">
        <v>14.54</v>
      </c>
      <c r="F857">
        <v>22.16</v>
      </c>
      <c r="G857">
        <v>75</v>
      </c>
      <c r="H857">
        <v>7.8</v>
      </c>
      <c r="I857">
        <v>1.2</v>
      </c>
      <c r="J857">
        <v>24</v>
      </c>
      <c r="K857" t="s">
        <v>1993</v>
      </c>
      <c r="L857">
        <v>1</v>
      </c>
      <c r="M857">
        <v>1</v>
      </c>
      <c r="N857" s="1">
        <f t="shared" si="26"/>
        <v>0</v>
      </c>
      <c r="O857" s="1">
        <f t="shared" si="27"/>
        <v>1</v>
      </c>
    </row>
    <row r="858" spans="1:15" x14ac:dyDescent="0.25">
      <c r="A858" t="s">
        <v>2140</v>
      </c>
      <c r="B858" t="s">
        <v>2141</v>
      </c>
      <c r="C858" t="s">
        <v>2142</v>
      </c>
      <c r="D858">
        <v>10.36</v>
      </c>
      <c r="E858">
        <v>8.61</v>
      </c>
      <c r="F858">
        <v>21.99</v>
      </c>
      <c r="G858">
        <v>82.5</v>
      </c>
      <c r="H858">
        <v>0</v>
      </c>
      <c r="I858">
        <v>1</v>
      </c>
      <c r="J858">
        <v>42.5</v>
      </c>
      <c r="K858" t="s">
        <v>1993</v>
      </c>
      <c r="L858">
        <v>1</v>
      </c>
      <c r="M858">
        <v>1</v>
      </c>
      <c r="N858" s="1">
        <f t="shared" si="26"/>
        <v>0</v>
      </c>
      <c r="O858" s="1">
        <f t="shared" si="27"/>
        <v>1</v>
      </c>
    </row>
    <row r="859" spans="1:15" x14ac:dyDescent="0.25">
      <c r="A859" t="s">
        <v>2143</v>
      </c>
      <c r="B859" t="s">
        <v>2144</v>
      </c>
      <c r="C859" t="s">
        <v>2139</v>
      </c>
      <c r="D859">
        <v>10.29</v>
      </c>
      <c r="E859">
        <v>14.54</v>
      </c>
      <c r="F859">
        <v>21.83</v>
      </c>
      <c r="G859">
        <v>75</v>
      </c>
      <c r="H859">
        <v>7.58</v>
      </c>
      <c r="I859">
        <v>1</v>
      </c>
      <c r="J859">
        <v>24</v>
      </c>
      <c r="K859" t="s">
        <v>1993</v>
      </c>
      <c r="L859">
        <v>1</v>
      </c>
      <c r="M859">
        <v>1</v>
      </c>
      <c r="N859" s="1">
        <f t="shared" si="26"/>
        <v>0</v>
      </c>
      <c r="O859" s="1">
        <f t="shared" si="27"/>
        <v>1</v>
      </c>
    </row>
    <row r="860" spans="1:15" x14ac:dyDescent="0.25">
      <c r="A860" t="s">
        <v>2145</v>
      </c>
      <c r="B860" t="s">
        <v>2146</v>
      </c>
      <c r="C860" t="s">
        <v>2027</v>
      </c>
      <c r="D860">
        <v>10.23</v>
      </c>
      <c r="E860">
        <v>6.34</v>
      </c>
      <c r="F860">
        <v>21.71</v>
      </c>
      <c r="G860">
        <v>75</v>
      </c>
      <c r="H860">
        <v>8</v>
      </c>
      <c r="I860">
        <v>1</v>
      </c>
      <c r="J860">
        <v>24</v>
      </c>
      <c r="K860" t="s">
        <v>1993</v>
      </c>
      <c r="L860">
        <v>1</v>
      </c>
      <c r="M860">
        <v>1</v>
      </c>
      <c r="N860" s="1">
        <f t="shared" si="26"/>
        <v>0</v>
      </c>
      <c r="O860" s="1">
        <f t="shared" si="27"/>
        <v>1</v>
      </c>
    </row>
    <row r="861" spans="1:15" x14ac:dyDescent="0.25">
      <c r="A861" t="s">
        <v>2147</v>
      </c>
      <c r="B861" t="s">
        <v>2148</v>
      </c>
      <c r="C861" t="s">
        <v>2149</v>
      </c>
      <c r="D861">
        <v>10.18</v>
      </c>
      <c r="E861">
        <v>8.6199999999999992</v>
      </c>
      <c r="F861">
        <v>21.59</v>
      </c>
      <c r="G861">
        <v>98.48</v>
      </c>
      <c r="H861">
        <v>0</v>
      </c>
      <c r="I861">
        <v>1.52</v>
      </c>
      <c r="J861">
        <v>70.83</v>
      </c>
      <c r="K861" t="s">
        <v>1993</v>
      </c>
      <c r="L861">
        <v>1</v>
      </c>
      <c r="M861">
        <v>1</v>
      </c>
      <c r="N861" s="1">
        <f t="shared" si="26"/>
        <v>0</v>
      </c>
      <c r="O861" s="1">
        <f t="shared" si="27"/>
        <v>1</v>
      </c>
    </row>
    <row r="862" spans="1:15" x14ac:dyDescent="0.25">
      <c r="A862" t="s">
        <v>2150</v>
      </c>
      <c r="B862" t="s">
        <v>2151</v>
      </c>
      <c r="C862" t="s">
        <v>2152</v>
      </c>
      <c r="D862">
        <v>9.9</v>
      </c>
      <c r="E862">
        <v>8.26</v>
      </c>
      <c r="F862">
        <v>20.98</v>
      </c>
      <c r="G862">
        <v>39</v>
      </c>
      <c r="H862">
        <v>42</v>
      </c>
      <c r="I862">
        <v>6</v>
      </c>
      <c r="J862">
        <v>3</v>
      </c>
      <c r="K862" t="s">
        <v>1993</v>
      </c>
      <c r="L862">
        <v>1</v>
      </c>
      <c r="M862">
        <v>1</v>
      </c>
      <c r="N862" s="1">
        <f t="shared" si="26"/>
        <v>0</v>
      </c>
      <c r="O862" s="1">
        <f t="shared" si="27"/>
        <v>1</v>
      </c>
    </row>
    <row r="863" spans="1:15" x14ac:dyDescent="0.25">
      <c r="A863" t="s">
        <v>2153</v>
      </c>
      <c r="B863" t="s">
        <v>2154</v>
      </c>
      <c r="C863" t="s">
        <v>2155</v>
      </c>
      <c r="D863">
        <v>9.7100000000000009</v>
      </c>
      <c r="E863">
        <v>3.39</v>
      </c>
      <c r="F863">
        <v>20.55</v>
      </c>
      <c r="G863">
        <v>35.78</v>
      </c>
      <c r="H863">
        <v>51.66</v>
      </c>
      <c r="I863">
        <v>2.06</v>
      </c>
      <c r="J863">
        <v>8.75</v>
      </c>
      <c r="K863" t="s">
        <v>1993</v>
      </c>
      <c r="L863">
        <v>1</v>
      </c>
      <c r="M863">
        <v>1</v>
      </c>
      <c r="N863" s="1">
        <f t="shared" si="26"/>
        <v>0</v>
      </c>
      <c r="O863" s="1">
        <f t="shared" si="27"/>
        <v>1</v>
      </c>
    </row>
    <row r="864" spans="1:15" x14ac:dyDescent="0.25">
      <c r="A864" t="s">
        <v>2156</v>
      </c>
      <c r="B864" t="s">
        <v>2157</v>
      </c>
      <c r="C864" t="s">
        <v>2158</v>
      </c>
      <c r="D864">
        <v>9.7100000000000009</v>
      </c>
      <c r="E864">
        <v>0</v>
      </c>
      <c r="F864">
        <v>20.55</v>
      </c>
      <c r="G864">
        <v>35.78</v>
      </c>
      <c r="H864">
        <v>51.66</v>
      </c>
      <c r="I864">
        <v>2.06</v>
      </c>
      <c r="J864">
        <v>8.75</v>
      </c>
      <c r="K864" t="s">
        <v>1993</v>
      </c>
      <c r="L864">
        <v>1</v>
      </c>
      <c r="M864">
        <v>1</v>
      </c>
      <c r="N864" s="1">
        <f t="shared" si="26"/>
        <v>0</v>
      </c>
      <c r="O864" s="1">
        <f t="shared" si="27"/>
        <v>1</v>
      </c>
    </row>
    <row r="865" spans="1:15" x14ac:dyDescent="0.25">
      <c r="A865" t="s">
        <v>2159</v>
      </c>
      <c r="B865" t="s">
        <v>2160</v>
      </c>
      <c r="C865" t="s">
        <v>130</v>
      </c>
      <c r="D865">
        <v>9.6999999999999993</v>
      </c>
      <c r="E865">
        <v>5.93</v>
      </c>
      <c r="F865">
        <v>20.54</v>
      </c>
      <c r="G865">
        <v>58</v>
      </c>
      <c r="H865">
        <v>0</v>
      </c>
      <c r="I865">
        <v>1</v>
      </c>
      <c r="J865">
        <v>11</v>
      </c>
      <c r="K865" t="s">
        <v>1993</v>
      </c>
      <c r="L865">
        <v>1</v>
      </c>
      <c r="M865">
        <v>1</v>
      </c>
      <c r="N865" s="1">
        <f t="shared" si="26"/>
        <v>0</v>
      </c>
      <c r="O865" s="1">
        <f t="shared" si="27"/>
        <v>1</v>
      </c>
    </row>
    <row r="866" spans="1:15" x14ac:dyDescent="0.25">
      <c r="A866" t="s">
        <v>2161</v>
      </c>
      <c r="B866" t="s">
        <v>2162</v>
      </c>
      <c r="C866" t="s">
        <v>2163</v>
      </c>
      <c r="D866">
        <v>9.58</v>
      </c>
      <c r="E866">
        <v>6.14</v>
      </c>
      <c r="F866">
        <v>20.27</v>
      </c>
      <c r="G866">
        <v>77</v>
      </c>
      <c r="H866">
        <v>10</v>
      </c>
      <c r="I866">
        <v>1</v>
      </c>
      <c r="J866">
        <v>50</v>
      </c>
      <c r="K866" t="s">
        <v>1993</v>
      </c>
      <c r="L866">
        <v>1</v>
      </c>
      <c r="M866">
        <v>1</v>
      </c>
      <c r="N866" s="1">
        <f t="shared" si="26"/>
        <v>0</v>
      </c>
      <c r="O866" s="1">
        <f t="shared" si="27"/>
        <v>1</v>
      </c>
    </row>
    <row r="867" spans="1:15" x14ac:dyDescent="0.25">
      <c r="A867" t="s">
        <v>2164</v>
      </c>
      <c r="B867" t="s">
        <v>2165</v>
      </c>
      <c r="C867" t="s">
        <v>2166</v>
      </c>
      <c r="D867">
        <v>9.5500000000000007</v>
      </c>
      <c r="E867">
        <v>13.1</v>
      </c>
      <c r="F867">
        <v>20.2</v>
      </c>
      <c r="G867">
        <v>42.37</v>
      </c>
      <c r="H867">
        <v>21.84</v>
      </c>
      <c r="I867">
        <v>2.2200000000000002</v>
      </c>
      <c r="J867">
        <v>10.89</v>
      </c>
      <c r="K867" t="s">
        <v>1993</v>
      </c>
      <c r="L867">
        <v>1</v>
      </c>
      <c r="M867">
        <v>1</v>
      </c>
      <c r="N867" s="1">
        <f t="shared" si="26"/>
        <v>0</v>
      </c>
      <c r="O867" s="1">
        <f t="shared" si="27"/>
        <v>1</v>
      </c>
    </row>
    <row r="868" spans="1:15" x14ac:dyDescent="0.25">
      <c r="A868" t="s">
        <v>2167</v>
      </c>
      <c r="B868" t="s">
        <v>2168</v>
      </c>
      <c r="C868" t="s">
        <v>2169</v>
      </c>
      <c r="D868">
        <v>9.43</v>
      </c>
      <c r="E868">
        <v>10.01</v>
      </c>
      <c r="F868">
        <v>19.920000000000002</v>
      </c>
      <c r="G868">
        <v>49</v>
      </c>
      <c r="H868">
        <v>0</v>
      </c>
      <c r="I868">
        <v>2</v>
      </c>
      <c r="J868">
        <v>98</v>
      </c>
      <c r="K868" t="s">
        <v>1993</v>
      </c>
      <c r="L868">
        <v>1</v>
      </c>
      <c r="M868">
        <v>1</v>
      </c>
      <c r="N868" s="1">
        <f t="shared" si="26"/>
        <v>0</v>
      </c>
      <c r="O868" s="1">
        <f t="shared" si="27"/>
        <v>1</v>
      </c>
    </row>
    <row r="869" spans="1:15" x14ac:dyDescent="0.25">
      <c r="A869" t="s">
        <v>2170</v>
      </c>
      <c r="B869" t="s">
        <v>2171</v>
      </c>
      <c r="C869" t="s">
        <v>2172</v>
      </c>
      <c r="D869">
        <v>9.3699999999999992</v>
      </c>
      <c r="E869">
        <v>6.5</v>
      </c>
      <c r="F869">
        <v>19.8</v>
      </c>
      <c r="G869">
        <v>34.67</v>
      </c>
      <c r="H869">
        <v>49.74</v>
      </c>
      <c r="I869">
        <v>1.1000000000000001</v>
      </c>
      <c r="J869">
        <v>0</v>
      </c>
      <c r="K869" t="s">
        <v>1993</v>
      </c>
      <c r="L869">
        <v>1</v>
      </c>
      <c r="M869">
        <v>1</v>
      </c>
      <c r="N869" s="1">
        <f t="shared" si="26"/>
        <v>0</v>
      </c>
      <c r="O869" s="1">
        <f t="shared" si="27"/>
        <v>1</v>
      </c>
    </row>
    <row r="870" spans="1:15" x14ac:dyDescent="0.25">
      <c r="A870" t="s">
        <v>2173</v>
      </c>
      <c r="B870" t="s">
        <v>2174</v>
      </c>
      <c r="C870" t="s">
        <v>24</v>
      </c>
      <c r="D870">
        <v>9.17</v>
      </c>
      <c r="E870">
        <v>8.4700000000000006</v>
      </c>
      <c r="F870">
        <v>19.350000000000001</v>
      </c>
      <c r="G870">
        <v>98</v>
      </c>
      <c r="H870">
        <v>0</v>
      </c>
      <c r="I870">
        <v>2</v>
      </c>
      <c r="J870">
        <v>20</v>
      </c>
      <c r="K870" t="s">
        <v>1993</v>
      </c>
      <c r="L870">
        <v>1</v>
      </c>
      <c r="M870">
        <v>1</v>
      </c>
      <c r="N870" s="1">
        <f t="shared" si="26"/>
        <v>0</v>
      </c>
      <c r="O870" s="1">
        <f t="shared" si="27"/>
        <v>1</v>
      </c>
    </row>
    <row r="871" spans="1:15" x14ac:dyDescent="0.25">
      <c r="A871" t="s">
        <v>2175</v>
      </c>
      <c r="B871" t="s">
        <v>2176</v>
      </c>
      <c r="C871" t="s">
        <v>2177</v>
      </c>
      <c r="D871">
        <v>9.0399999999999991</v>
      </c>
      <c r="E871">
        <v>8.57</v>
      </c>
      <c r="F871">
        <v>19.07</v>
      </c>
      <c r="G871">
        <v>81.5</v>
      </c>
      <c r="H871">
        <v>8</v>
      </c>
      <c r="I871">
        <v>0.5</v>
      </c>
      <c r="J871">
        <v>76.5</v>
      </c>
      <c r="K871" t="s">
        <v>1993</v>
      </c>
      <c r="L871">
        <v>1</v>
      </c>
      <c r="M871">
        <v>1</v>
      </c>
      <c r="N871" s="1">
        <f t="shared" si="26"/>
        <v>0</v>
      </c>
      <c r="O871" s="1">
        <f t="shared" si="27"/>
        <v>1</v>
      </c>
    </row>
    <row r="872" spans="1:15" x14ac:dyDescent="0.25">
      <c r="A872" t="s">
        <v>2178</v>
      </c>
      <c r="B872" t="s">
        <v>2179</v>
      </c>
      <c r="C872" t="s">
        <v>2180</v>
      </c>
      <c r="D872">
        <v>8.9499999999999993</v>
      </c>
      <c r="E872">
        <v>3.13</v>
      </c>
      <c r="F872">
        <v>18.86</v>
      </c>
      <c r="G872">
        <v>98.59</v>
      </c>
      <c r="H872">
        <v>0</v>
      </c>
      <c r="I872">
        <v>1.43</v>
      </c>
      <c r="J872">
        <v>46.8</v>
      </c>
      <c r="K872" t="s">
        <v>1993</v>
      </c>
      <c r="L872">
        <v>1</v>
      </c>
      <c r="M872">
        <v>1</v>
      </c>
      <c r="N872" s="1">
        <f t="shared" si="26"/>
        <v>0</v>
      </c>
      <c r="O872" s="1">
        <f t="shared" si="27"/>
        <v>1</v>
      </c>
    </row>
    <row r="873" spans="1:15" x14ac:dyDescent="0.25">
      <c r="A873" t="s">
        <v>2181</v>
      </c>
      <c r="B873" t="s">
        <v>2182</v>
      </c>
      <c r="D873">
        <v>8.74</v>
      </c>
      <c r="F873">
        <v>18.41</v>
      </c>
      <c r="G873">
        <v>52.54</v>
      </c>
      <c r="H873">
        <v>16.600000000000001</v>
      </c>
      <c r="I873">
        <v>3.3</v>
      </c>
      <c r="J873">
        <v>26.7</v>
      </c>
      <c r="K873" t="s">
        <v>1993</v>
      </c>
      <c r="L873">
        <v>1</v>
      </c>
      <c r="M873">
        <v>1</v>
      </c>
      <c r="N873" s="1">
        <f t="shared" si="26"/>
        <v>0</v>
      </c>
      <c r="O873" s="1">
        <f t="shared" si="27"/>
        <v>1</v>
      </c>
    </row>
    <row r="874" spans="1:15" x14ac:dyDescent="0.25">
      <c r="A874" t="s">
        <v>2183</v>
      </c>
      <c r="B874" t="s">
        <v>2184</v>
      </c>
      <c r="D874">
        <v>8.68</v>
      </c>
      <c r="E874">
        <v>0</v>
      </c>
      <c r="F874">
        <v>18.27</v>
      </c>
      <c r="G874">
        <v>27.55</v>
      </c>
      <c r="H874">
        <v>66.650000000000006</v>
      </c>
      <c r="I874">
        <v>3.05</v>
      </c>
      <c r="J874">
        <v>12.54</v>
      </c>
      <c r="K874" t="s">
        <v>1993</v>
      </c>
      <c r="L874">
        <v>1</v>
      </c>
      <c r="M874">
        <v>1</v>
      </c>
      <c r="N874" s="1">
        <f t="shared" si="26"/>
        <v>0</v>
      </c>
      <c r="O874" s="1">
        <f t="shared" si="27"/>
        <v>1</v>
      </c>
    </row>
    <row r="875" spans="1:15" x14ac:dyDescent="0.25">
      <c r="A875" t="s">
        <v>2185</v>
      </c>
      <c r="B875" t="s">
        <v>2186</v>
      </c>
      <c r="C875" t="s">
        <v>2187</v>
      </c>
      <c r="D875">
        <v>8.3699999999999992</v>
      </c>
      <c r="E875">
        <v>3.33</v>
      </c>
      <c r="F875">
        <v>17.59</v>
      </c>
      <c r="G875">
        <v>40.76</v>
      </c>
      <c r="H875">
        <v>58.12</v>
      </c>
      <c r="I875">
        <v>1.1200000000000001</v>
      </c>
      <c r="J875">
        <v>0</v>
      </c>
      <c r="K875" t="s">
        <v>1993</v>
      </c>
      <c r="L875">
        <v>1</v>
      </c>
      <c r="M875">
        <v>1</v>
      </c>
      <c r="N875" s="1">
        <f t="shared" si="26"/>
        <v>0</v>
      </c>
      <c r="O875" s="1">
        <f t="shared" si="27"/>
        <v>1</v>
      </c>
    </row>
    <row r="876" spans="1:15" x14ac:dyDescent="0.25">
      <c r="A876" t="s">
        <v>2188</v>
      </c>
      <c r="B876" t="s">
        <v>2189</v>
      </c>
      <c r="C876" t="s">
        <v>2018</v>
      </c>
      <c r="D876">
        <v>8.15</v>
      </c>
      <c r="E876">
        <v>3.47</v>
      </c>
      <c r="F876">
        <v>17.13</v>
      </c>
      <c r="G876">
        <v>70.39</v>
      </c>
      <c r="H876">
        <v>0.78</v>
      </c>
      <c r="I876">
        <v>0.9</v>
      </c>
      <c r="J876">
        <v>90.39</v>
      </c>
      <c r="K876" t="s">
        <v>1993</v>
      </c>
      <c r="L876">
        <v>1</v>
      </c>
      <c r="M876">
        <v>1</v>
      </c>
      <c r="N876" s="1">
        <f t="shared" si="26"/>
        <v>0</v>
      </c>
      <c r="O876" s="1">
        <f t="shared" si="27"/>
        <v>1</v>
      </c>
    </row>
    <row r="877" spans="1:15" x14ac:dyDescent="0.25">
      <c r="A877" t="s">
        <v>2190</v>
      </c>
      <c r="B877" t="s">
        <v>2191</v>
      </c>
      <c r="C877" t="s">
        <v>2192</v>
      </c>
      <c r="D877">
        <v>7.93</v>
      </c>
      <c r="E877">
        <v>8.44</v>
      </c>
      <c r="F877">
        <v>16.63</v>
      </c>
      <c r="G877">
        <v>63.9</v>
      </c>
      <c r="H877">
        <v>15</v>
      </c>
      <c r="I877">
        <v>5.9</v>
      </c>
      <c r="J877">
        <v>44.9</v>
      </c>
      <c r="K877" t="s">
        <v>1993</v>
      </c>
      <c r="L877">
        <v>1</v>
      </c>
      <c r="M877">
        <v>1</v>
      </c>
      <c r="N877" s="1">
        <f t="shared" si="26"/>
        <v>0</v>
      </c>
      <c r="O877" s="1">
        <f t="shared" si="27"/>
        <v>1</v>
      </c>
    </row>
    <row r="878" spans="1:15" x14ac:dyDescent="0.25">
      <c r="A878" t="s">
        <v>2193</v>
      </c>
      <c r="B878" t="s">
        <v>2194</v>
      </c>
      <c r="C878" t="s">
        <v>2195</v>
      </c>
      <c r="D878">
        <v>7.86</v>
      </c>
      <c r="E878">
        <v>6.74</v>
      </c>
      <c r="F878">
        <v>16.489999999999998</v>
      </c>
      <c r="G878">
        <v>35.32</v>
      </c>
      <c r="H878">
        <v>52.99</v>
      </c>
      <c r="I878">
        <v>0.93</v>
      </c>
      <c r="J878">
        <v>4.01</v>
      </c>
      <c r="K878" t="s">
        <v>1993</v>
      </c>
      <c r="L878">
        <v>1</v>
      </c>
      <c r="M878">
        <v>1</v>
      </c>
      <c r="N878" s="1">
        <f t="shared" si="26"/>
        <v>0</v>
      </c>
      <c r="O878" s="1">
        <f t="shared" si="27"/>
        <v>1</v>
      </c>
    </row>
    <row r="879" spans="1:15" x14ac:dyDescent="0.25">
      <c r="A879" t="s">
        <v>2196</v>
      </c>
      <c r="B879" t="s">
        <v>2197</v>
      </c>
      <c r="D879">
        <v>7.82</v>
      </c>
      <c r="E879">
        <v>0</v>
      </c>
      <c r="F879">
        <v>16.399999999999999</v>
      </c>
      <c r="G879">
        <v>25.05</v>
      </c>
      <c r="H879">
        <v>70.989999999999995</v>
      </c>
      <c r="I879">
        <v>1.46</v>
      </c>
      <c r="J879">
        <v>16.43</v>
      </c>
      <c r="K879" t="s">
        <v>1993</v>
      </c>
      <c r="L879">
        <v>1</v>
      </c>
      <c r="M879">
        <v>1</v>
      </c>
      <c r="N879" s="1">
        <f t="shared" si="26"/>
        <v>0</v>
      </c>
      <c r="O879" s="1">
        <f t="shared" si="27"/>
        <v>1</v>
      </c>
    </row>
    <row r="880" spans="1:15" x14ac:dyDescent="0.25">
      <c r="A880" t="s">
        <v>2198</v>
      </c>
      <c r="B880" t="s">
        <v>2199</v>
      </c>
      <c r="D880">
        <v>7.68</v>
      </c>
      <c r="E880">
        <v>0</v>
      </c>
      <c r="F880">
        <v>16.079999999999998</v>
      </c>
      <c r="G880">
        <v>22.66</v>
      </c>
      <c r="H880">
        <v>74.03</v>
      </c>
      <c r="I880">
        <v>1.05</v>
      </c>
      <c r="J880">
        <v>11.03</v>
      </c>
      <c r="K880" t="s">
        <v>1993</v>
      </c>
      <c r="L880">
        <v>1</v>
      </c>
      <c r="M880">
        <v>1</v>
      </c>
      <c r="N880" s="1">
        <f t="shared" si="26"/>
        <v>0</v>
      </c>
      <c r="O880" s="1">
        <f t="shared" si="27"/>
        <v>1</v>
      </c>
    </row>
    <row r="881" spans="1:15" x14ac:dyDescent="0.25">
      <c r="A881" t="s">
        <v>2200</v>
      </c>
      <c r="B881" t="s">
        <v>2201</v>
      </c>
      <c r="C881" t="s">
        <v>2202</v>
      </c>
      <c r="D881">
        <v>7.64</v>
      </c>
      <c r="E881">
        <v>7.48</v>
      </c>
      <c r="F881">
        <v>16</v>
      </c>
      <c r="G881">
        <v>47.42</v>
      </c>
      <c r="H881">
        <v>7.01</v>
      </c>
      <c r="I881">
        <v>2.15</v>
      </c>
      <c r="J881">
        <v>43.87</v>
      </c>
      <c r="K881" t="s">
        <v>1993</v>
      </c>
      <c r="L881">
        <v>1</v>
      </c>
      <c r="M881">
        <v>1</v>
      </c>
      <c r="N881" s="1">
        <f t="shared" si="26"/>
        <v>0</v>
      </c>
      <c r="O881" s="1">
        <f t="shared" si="27"/>
        <v>1</v>
      </c>
    </row>
    <row r="882" spans="1:15" x14ac:dyDescent="0.25">
      <c r="A882" t="s">
        <v>2203</v>
      </c>
      <c r="B882" t="s">
        <v>2204</v>
      </c>
      <c r="D882">
        <v>7.49</v>
      </c>
      <c r="E882">
        <v>0</v>
      </c>
      <c r="F882">
        <v>15.69</v>
      </c>
      <c r="G882">
        <v>24.87</v>
      </c>
      <c r="H882">
        <v>70.17</v>
      </c>
      <c r="I882">
        <v>2.46</v>
      </c>
      <c r="J882">
        <v>16.8</v>
      </c>
      <c r="K882" t="s">
        <v>1993</v>
      </c>
      <c r="L882">
        <v>1</v>
      </c>
      <c r="M882">
        <v>1</v>
      </c>
      <c r="N882" s="1">
        <f t="shared" si="26"/>
        <v>0</v>
      </c>
      <c r="O882" s="1">
        <f t="shared" si="27"/>
        <v>1</v>
      </c>
    </row>
    <row r="883" spans="1:15" x14ac:dyDescent="0.25">
      <c r="A883" t="s">
        <v>2205</v>
      </c>
      <c r="B883" t="s">
        <v>2206</v>
      </c>
      <c r="C883" t="s">
        <v>2207</v>
      </c>
      <c r="D883">
        <v>7.45</v>
      </c>
      <c r="E883">
        <v>8.11</v>
      </c>
      <c r="F883">
        <v>15.6</v>
      </c>
      <c r="G883">
        <v>44</v>
      </c>
      <c r="H883">
        <v>43</v>
      </c>
      <c r="I883">
        <v>1</v>
      </c>
      <c r="J883">
        <v>0</v>
      </c>
      <c r="K883" t="s">
        <v>1993</v>
      </c>
      <c r="L883">
        <v>1</v>
      </c>
      <c r="M883">
        <v>1</v>
      </c>
      <c r="N883" s="1">
        <f t="shared" si="26"/>
        <v>0</v>
      </c>
      <c r="O883" s="1">
        <f t="shared" si="27"/>
        <v>1</v>
      </c>
    </row>
    <row r="884" spans="1:15" x14ac:dyDescent="0.25">
      <c r="A884" t="s">
        <v>2208</v>
      </c>
      <c r="B884" t="s">
        <v>2209</v>
      </c>
      <c r="D884">
        <v>7.36</v>
      </c>
      <c r="E884">
        <v>0</v>
      </c>
      <c r="F884">
        <v>15.39</v>
      </c>
      <c r="G884">
        <v>23.35</v>
      </c>
      <c r="H884">
        <v>72.819999999999993</v>
      </c>
      <c r="I884">
        <v>1.33</v>
      </c>
      <c r="J884">
        <v>15.61</v>
      </c>
      <c r="K884" t="s">
        <v>1993</v>
      </c>
      <c r="L884">
        <v>1</v>
      </c>
      <c r="M884">
        <v>1</v>
      </c>
      <c r="N884" s="1">
        <f t="shared" si="26"/>
        <v>0</v>
      </c>
      <c r="O884" s="1">
        <f t="shared" si="27"/>
        <v>1</v>
      </c>
    </row>
    <row r="885" spans="1:15" x14ac:dyDescent="0.25">
      <c r="A885" t="s">
        <v>2210</v>
      </c>
      <c r="B885" t="s">
        <v>2189</v>
      </c>
      <c r="D885">
        <v>7.17</v>
      </c>
      <c r="E885">
        <v>0</v>
      </c>
      <c r="F885">
        <v>14.99</v>
      </c>
      <c r="G885">
        <v>69.650000000000006</v>
      </c>
      <c r="H885">
        <v>0.92</v>
      </c>
      <c r="I885">
        <v>1.1100000000000001</v>
      </c>
      <c r="J885">
        <v>91.47</v>
      </c>
      <c r="K885" t="s">
        <v>1993</v>
      </c>
      <c r="L885">
        <v>1</v>
      </c>
      <c r="M885">
        <v>1</v>
      </c>
      <c r="N885" s="1">
        <f t="shared" si="26"/>
        <v>0</v>
      </c>
      <c r="O885" s="1">
        <f t="shared" si="27"/>
        <v>1</v>
      </c>
    </row>
    <row r="886" spans="1:15" x14ac:dyDescent="0.25">
      <c r="A886" t="s">
        <v>2211</v>
      </c>
      <c r="B886" t="s">
        <v>2212</v>
      </c>
      <c r="C886" t="s">
        <v>2213</v>
      </c>
      <c r="D886">
        <v>7.04</v>
      </c>
      <c r="E886">
        <v>5.14</v>
      </c>
      <c r="F886">
        <v>14.7</v>
      </c>
      <c r="G886">
        <v>25</v>
      </c>
      <c r="H886">
        <v>55</v>
      </c>
      <c r="I886">
        <v>5</v>
      </c>
      <c r="J886">
        <v>24</v>
      </c>
      <c r="K886" t="s">
        <v>1993</v>
      </c>
      <c r="L886">
        <v>1</v>
      </c>
      <c r="M886">
        <v>1</v>
      </c>
      <c r="N886" s="1">
        <f t="shared" si="26"/>
        <v>0</v>
      </c>
      <c r="O886" s="1">
        <f t="shared" si="27"/>
        <v>1</v>
      </c>
    </row>
    <row r="887" spans="1:15" x14ac:dyDescent="0.25">
      <c r="A887" t="s">
        <v>2214</v>
      </c>
      <c r="B887" t="s">
        <v>2215</v>
      </c>
      <c r="C887" t="s">
        <v>2216</v>
      </c>
      <c r="D887">
        <v>6.9</v>
      </c>
      <c r="E887">
        <v>4.6500000000000004</v>
      </c>
      <c r="F887">
        <v>14.41</v>
      </c>
      <c r="G887">
        <v>48</v>
      </c>
      <c r="H887">
        <v>28</v>
      </c>
      <c r="I887">
        <v>8</v>
      </c>
      <c r="J887">
        <v>17</v>
      </c>
      <c r="K887" t="s">
        <v>1993</v>
      </c>
      <c r="L887">
        <v>1</v>
      </c>
      <c r="M887">
        <v>1</v>
      </c>
      <c r="N887" s="1">
        <f t="shared" si="26"/>
        <v>0</v>
      </c>
      <c r="O887" s="1">
        <f t="shared" si="27"/>
        <v>1</v>
      </c>
    </row>
    <row r="888" spans="1:15" x14ac:dyDescent="0.25">
      <c r="A888" t="s">
        <v>2217</v>
      </c>
      <c r="B888" t="s">
        <v>2218</v>
      </c>
      <c r="D888">
        <v>6.77</v>
      </c>
      <c r="E888">
        <v>0</v>
      </c>
      <c r="F888">
        <v>14.13</v>
      </c>
      <c r="G888">
        <v>61</v>
      </c>
      <c r="H888">
        <v>10</v>
      </c>
      <c r="I888">
        <v>5</v>
      </c>
      <c r="J888">
        <v>90</v>
      </c>
      <c r="K888" t="s">
        <v>1993</v>
      </c>
      <c r="L888">
        <v>1</v>
      </c>
      <c r="M888">
        <v>1</v>
      </c>
      <c r="N888" s="1">
        <f t="shared" si="26"/>
        <v>0</v>
      </c>
      <c r="O888" s="1">
        <f t="shared" si="27"/>
        <v>1</v>
      </c>
    </row>
    <row r="889" spans="1:15" x14ac:dyDescent="0.25">
      <c r="A889" t="s">
        <v>2219</v>
      </c>
      <c r="B889" t="s">
        <v>2220</v>
      </c>
      <c r="C889" t="s">
        <v>2221</v>
      </c>
      <c r="D889">
        <v>6.66</v>
      </c>
      <c r="E889">
        <v>8.98</v>
      </c>
      <c r="F889">
        <v>13.89</v>
      </c>
      <c r="G889">
        <v>90.09</v>
      </c>
      <c r="H889">
        <v>5.31</v>
      </c>
      <c r="I889">
        <v>1.2</v>
      </c>
      <c r="J889">
        <v>71.69</v>
      </c>
      <c r="K889" t="s">
        <v>1993</v>
      </c>
      <c r="L889">
        <v>1</v>
      </c>
      <c r="M889">
        <v>1</v>
      </c>
      <c r="N889" s="1">
        <f t="shared" si="26"/>
        <v>0</v>
      </c>
      <c r="O889" s="1">
        <f t="shared" si="27"/>
        <v>1</v>
      </c>
    </row>
    <row r="890" spans="1:15" x14ac:dyDescent="0.25">
      <c r="A890" t="s">
        <v>2222</v>
      </c>
      <c r="B890" t="s">
        <v>2223</v>
      </c>
      <c r="D890">
        <v>6.65</v>
      </c>
      <c r="E890">
        <v>0</v>
      </c>
      <c r="F890">
        <v>13.87</v>
      </c>
      <c r="G890">
        <v>52</v>
      </c>
      <c r="H890">
        <v>19.55</v>
      </c>
      <c r="I890">
        <v>3.43</v>
      </c>
      <c r="J890">
        <v>36.17</v>
      </c>
      <c r="K890" t="s">
        <v>1993</v>
      </c>
      <c r="L890">
        <v>1</v>
      </c>
      <c r="M890">
        <v>1</v>
      </c>
      <c r="N890" s="1">
        <f t="shared" si="26"/>
        <v>0</v>
      </c>
      <c r="O890" s="1">
        <f t="shared" si="27"/>
        <v>1</v>
      </c>
    </row>
    <row r="891" spans="1:15" x14ac:dyDescent="0.25">
      <c r="A891" t="s">
        <v>2224</v>
      </c>
      <c r="B891" t="s">
        <v>2225</v>
      </c>
      <c r="C891" t="s">
        <v>2226</v>
      </c>
      <c r="D891">
        <v>6.44</v>
      </c>
      <c r="F891">
        <v>13.9</v>
      </c>
      <c r="G891">
        <v>56</v>
      </c>
      <c r="H891">
        <v>18</v>
      </c>
      <c r="I891">
        <v>2</v>
      </c>
      <c r="J891">
        <v>11</v>
      </c>
      <c r="K891" t="s">
        <v>1993</v>
      </c>
      <c r="L891">
        <v>1</v>
      </c>
      <c r="M891">
        <v>1</v>
      </c>
      <c r="N891" s="1">
        <f t="shared" si="26"/>
        <v>0</v>
      </c>
      <c r="O891" s="1">
        <f t="shared" si="27"/>
        <v>1</v>
      </c>
    </row>
    <row r="892" spans="1:15" x14ac:dyDescent="0.25">
      <c r="A892" t="s">
        <v>2227</v>
      </c>
      <c r="B892" t="s">
        <v>2228</v>
      </c>
      <c r="C892" t="s">
        <v>2229</v>
      </c>
      <c r="D892">
        <v>6.39</v>
      </c>
      <c r="E892">
        <v>8.7200000000000006</v>
      </c>
      <c r="F892">
        <v>13.31</v>
      </c>
      <c r="G892">
        <v>27.93</v>
      </c>
      <c r="H892">
        <v>40.57</v>
      </c>
      <c r="I892">
        <v>1.03</v>
      </c>
      <c r="J892">
        <v>0</v>
      </c>
      <c r="K892" t="s">
        <v>1993</v>
      </c>
      <c r="L892">
        <v>1</v>
      </c>
      <c r="M892">
        <v>1</v>
      </c>
      <c r="N892" s="1">
        <f t="shared" si="26"/>
        <v>0</v>
      </c>
      <c r="O892" s="1">
        <f t="shared" si="27"/>
        <v>1</v>
      </c>
    </row>
    <row r="893" spans="1:15" x14ac:dyDescent="0.25">
      <c r="A893" t="s">
        <v>2230</v>
      </c>
      <c r="B893" t="s">
        <v>2231</v>
      </c>
      <c r="C893" t="s">
        <v>2232</v>
      </c>
      <c r="D893">
        <v>6.38</v>
      </c>
      <c r="E893">
        <v>4.45</v>
      </c>
      <c r="F893">
        <v>13.27</v>
      </c>
      <c r="G893">
        <v>40</v>
      </c>
      <c r="H893">
        <v>35</v>
      </c>
      <c r="I893">
        <v>5</v>
      </c>
      <c r="J893">
        <v>10</v>
      </c>
      <c r="K893" t="s">
        <v>1993</v>
      </c>
      <c r="L893">
        <v>1</v>
      </c>
      <c r="M893">
        <v>1</v>
      </c>
      <c r="N893" s="1">
        <f t="shared" si="26"/>
        <v>0</v>
      </c>
      <c r="O893" s="1">
        <f t="shared" si="27"/>
        <v>1</v>
      </c>
    </row>
    <row r="894" spans="1:15" x14ac:dyDescent="0.25">
      <c r="A894" t="s">
        <v>2233</v>
      </c>
      <c r="B894" t="s">
        <v>2234</v>
      </c>
      <c r="D894">
        <v>6.24</v>
      </c>
      <c r="E894">
        <v>0</v>
      </c>
      <c r="F894">
        <v>12.99</v>
      </c>
      <c r="G894">
        <v>20.88</v>
      </c>
      <c r="H894">
        <v>67.27</v>
      </c>
      <c r="I894">
        <v>9.24</v>
      </c>
      <c r="J894">
        <v>12.4</v>
      </c>
      <c r="K894" t="s">
        <v>1993</v>
      </c>
      <c r="L894">
        <v>1</v>
      </c>
      <c r="M894">
        <v>1</v>
      </c>
      <c r="N894" s="1">
        <f t="shared" si="26"/>
        <v>0</v>
      </c>
      <c r="O894" s="1">
        <f t="shared" si="27"/>
        <v>1</v>
      </c>
    </row>
    <row r="895" spans="1:15" x14ac:dyDescent="0.25">
      <c r="A895" t="s">
        <v>2235</v>
      </c>
      <c r="B895" t="s">
        <v>2236</v>
      </c>
      <c r="C895" t="s">
        <v>2237</v>
      </c>
      <c r="D895">
        <v>5.88</v>
      </c>
      <c r="E895">
        <v>7.25</v>
      </c>
      <c r="F895">
        <v>12.2</v>
      </c>
      <c r="G895">
        <v>94.96</v>
      </c>
      <c r="H895">
        <v>1.37</v>
      </c>
      <c r="I895">
        <v>0</v>
      </c>
      <c r="J895">
        <v>11.02</v>
      </c>
      <c r="K895" t="s">
        <v>1993</v>
      </c>
      <c r="L895">
        <v>1</v>
      </c>
      <c r="M895">
        <v>1</v>
      </c>
      <c r="N895" s="1">
        <f t="shared" si="26"/>
        <v>0</v>
      </c>
      <c r="O895" s="1">
        <f t="shared" si="27"/>
        <v>1</v>
      </c>
    </row>
    <row r="896" spans="1:15" x14ac:dyDescent="0.25">
      <c r="A896" t="s">
        <v>2238</v>
      </c>
      <c r="B896" t="s">
        <v>2239</v>
      </c>
      <c r="C896" t="s">
        <v>2240</v>
      </c>
      <c r="D896">
        <v>5.82</v>
      </c>
      <c r="E896">
        <v>0</v>
      </c>
      <c r="F896">
        <v>12.08</v>
      </c>
      <c r="G896">
        <v>85</v>
      </c>
      <c r="H896">
        <v>0</v>
      </c>
      <c r="I896">
        <v>4</v>
      </c>
      <c r="J896">
        <v>10</v>
      </c>
      <c r="K896" t="s">
        <v>1993</v>
      </c>
      <c r="L896">
        <v>1</v>
      </c>
      <c r="M896">
        <v>1</v>
      </c>
      <c r="N896" s="1">
        <f t="shared" si="26"/>
        <v>0</v>
      </c>
      <c r="O896" s="1">
        <f t="shared" si="27"/>
        <v>1</v>
      </c>
    </row>
    <row r="897" spans="1:15" x14ac:dyDescent="0.25">
      <c r="A897" t="s">
        <v>2241</v>
      </c>
      <c r="B897" t="s">
        <v>2242</v>
      </c>
      <c r="C897" t="s">
        <v>2243</v>
      </c>
      <c r="D897">
        <v>5.63</v>
      </c>
      <c r="E897">
        <v>1.37</v>
      </c>
      <c r="F897">
        <v>11.67</v>
      </c>
      <c r="G897">
        <v>10.87</v>
      </c>
      <c r="H897">
        <v>84.12</v>
      </c>
      <c r="I897">
        <v>1.01</v>
      </c>
      <c r="J897">
        <v>11.87</v>
      </c>
      <c r="K897" t="s">
        <v>1993</v>
      </c>
      <c r="L897">
        <v>1</v>
      </c>
      <c r="M897">
        <v>1</v>
      </c>
      <c r="N897" s="1">
        <f t="shared" si="26"/>
        <v>0</v>
      </c>
      <c r="O897" s="1">
        <f t="shared" si="27"/>
        <v>1</v>
      </c>
    </row>
    <row r="898" spans="1:15" x14ac:dyDescent="0.25">
      <c r="A898" t="s">
        <v>2244</v>
      </c>
      <c r="B898" t="s">
        <v>2245</v>
      </c>
      <c r="C898" t="s">
        <v>2246</v>
      </c>
      <c r="D898">
        <v>5.4</v>
      </c>
      <c r="E898">
        <v>0.73</v>
      </c>
      <c r="F898">
        <v>11.19</v>
      </c>
      <c r="G898">
        <v>17.53</v>
      </c>
      <c r="H898">
        <v>81.510000000000005</v>
      </c>
      <c r="I898">
        <v>0.95</v>
      </c>
      <c r="J898">
        <v>4.79</v>
      </c>
      <c r="K898" t="s">
        <v>1993</v>
      </c>
      <c r="L898">
        <v>1</v>
      </c>
      <c r="M898">
        <v>1</v>
      </c>
      <c r="N898" s="1">
        <f t="shared" ref="N898:N961" si="28">1-O898</f>
        <v>0</v>
      </c>
      <c r="O898" s="1">
        <f t="shared" ref="O898:O961" si="29">M898/L898</f>
        <v>1</v>
      </c>
    </row>
    <row r="899" spans="1:15" x14ac:dyDescent="0.25">
      <c r="A899" t="s">
        <v>2247</v>
      </c>
      <c r="B899" t="s">
        <v>2248</v>
      </c>
      <c r="C899" t="s">
        <v>493</v>
      </c>
      <c r="D899">
        <v>4.7699999999999996</v>
      </c>
      <c r="E899">
        <v>1.1200000000000001</v>
      </c>
      <c r="F899">
        <v>9.84</v>
      </c>
      <c r="G899">
        <v>9.52</v>
      </c>
      <c r="H899">
        <v>85.11</v>
      </c>
      <c r="I899">
        <v>0.92</v>
      </c>
      <c r="J899">
        <v>11.05</v>
      </c>
      <c r="K899" t="s">
        <v>1993</v>
      </c>
      <c r="L899">
        <v>1</v>
      </c>
      <c r="M899">
        <v>1</v>
      </c>
      <c r="N899" s="1">
        <f t="shared" si="28"/>
        <v>0</v>
      </c>
      <c r="O899" s="1">
        <f t="shared" si="29"/>
        <v>1</v>
      </c>
    </row>
    <row r="900" spans="1:15" x14ac:dyDescent="0.25">
      <c r="A900" t="s">
        <v>2249</v>
      </c>
      <c r="B900" t="s">
        <v>2250</v>
      </c>
      <c r="C900" t="s">
        <v>2251</v>
      </c>
      <c r="D900">
        <v>4.5999999999999996</v>
      </c>
      <c r="E900">
        <v>4.49</v>
      </c>
      <c r="F900">
        <v>9.49</v>
      </c>
      <c r="G900">
        <v>16</v>
      </c>
      <c r="H900">
        <v>78</v>
      </c>
      <c r="I900">
        <v>2</v>
      </c>
      <c r="J900">
        <v>0</v>
      </c>
      <c r="K900" t="s">
        <v>1993</v>
      </c>
      <c r="L900">
        <v>1</v>
      </c>
      <c r="M900">
        <v>1</v>
      </c>
      <c r="N900" s="1">
        <f t="shared" si="28"/>
        <v>0</v>
      </c>
      <c r="O900" s="1">
        <f t="shared" si="29"/>
        <v>1</v>
      </c>
    </row>
    <row r="901" spans="1:15" x14ac:dyDescent="0.25">
      <c r="A901" t="s">
        <v>2252</v>
      </c>
      <c r="B901" t="s">
        <v>2253</v>
      </c>
      <c r="C901" t="s">
        <v>2251</v>
      </c>
      <c r="D901">
        <v>4.5999999999999996</v>
      </c>
      <c r="E901">
        <v>4.4800000000000004</v>
      </c>
      <c r="F901">
        <v>9.5</v>
      </c>
      <c r="G901">
        <v>16</v>
      </c>
      <c r="H901">
        <v>78</v>
      </c>
      <c r="I901">
        <v>2</v>
      </c>
      <c r="J901">
        <v>0</v>
      </c>
      <c r="K901" t="s">
        <v>1993</v>
      </c>
      <c r="L901">
        <v>1</v>
      </c>
      <c r="M901">
        <v>1</v>
      </c>
      <c r="N901" s="1">
        <f t="shared" si="28"/>
        <v>0</v>
      </c>
      <c r="O901" s="1">
        <f t="shared" si="29"/>
        <v>1</v>
      </c>
    </row>
    <row r="902" spans="1:15" x14ac:dyDescent="0.25">
      <c r="A902" t="s">
        <v>2254</v>
      </c>
      <c r="B902" t="s">
        <v>2255</v>
      </c>
      <c r="C902" t="s">
        <v>2256</v>
      </c>
      <c r="D902">
        <v>4.5599999999999996</v>
      </c>
      <c r="E902">
        <v>-14.01</v>
      </c>
      <c r="F902">
        <v>9.42</v>
      </c>
      <c r="G902">
        <v>98</v>
      </c>
      <c r="H902">
        <v>0</v>
      </c>
      <c r="I902">
        <v>2</v>
      </c>
      <c r="J902">
        <v>40</v>
      </c>
      <c r="K902" t="s">
        <v>1993</v>
      </c>
      <c r="L902">
        <v>1</v>
      </c>
      <c r="M902">
        <v>1</v>
      </c>
      <c r="N902" s="1">
        <f t="shared" si="28"/>
        <v>0</v>
      </c>
      <c r="O902" s="1">
        <f t="shared" si="29"/>
        <v>1</v>
      </c>
    </row>
    <row r="903" spans="1:15" x14ac:dyDescent="0.25">
      <c r="A903" t="s">
        <v>2257</v>
      </c>
      <c r="B903" t="s">
        <v>2258</v>
      </c>
      <c r="C903" t="s">
        <v>2259</v>
      </c>
      <c r="D903">
        <v>4.45</v>
      </c>
      <c r="E903">
        <v>22.95</v>
      </c>
      <c r="F903">
        <v>9.19</v>
      </c>
      <c r="G903">
        <v>54</v>
      </c>
      <c r="H903">
        <v>0</v>
      </c>
      <c r="I903">
        <v>2</v>
      </c>
      <c r="J903">
        <v>27</v>
      </c>
      <c r="K903" t="s">
        <v>1993</v>
      </c>
      <c r="L903">
        <v>1</v>
      </c>
      <c r="M903">
        <v>1</v>
      </c>
      <c r="N903" s="1">
        <f t="shared" si="28"/>
        <v>0</v>
      </c>
      <c r="O903" s="1">
        <f t="shared" si="29"/>
        <v>1</v>
      </c>
    </row>
    <row r="904" spans="1:15" x14ac:dyDescent="0.25">
      <c r="A904" t="s">
        <v>2260</v>
      </c>
      <c r="B904" t="s">
        <v>2261</v>
      </c>
      <c r="C904" t="s">
        <v>2262</v>
      </c>
      <c r="D904">
        <v>4.33</v>
      </c>
      <c r="E904">
        <v>3.98</v>
      </c>
      <c r="F904">
        <v>8.93</v>
      </c>
      <c r="G904">
        <v>20.98</v>
      </c>
      <c r="H904">
        <v>70.77</v>
      </c>
      <c r="I904">
        <v>1.77</v>
      </c>
      <c r="J904">
        <v>0</v>
      </c>
      <c r="K904" t="s">
        <v>1993</v>
      </c>
      <c r="L904">
        <v>1</v>
      </c>
      <c r="M904">
        <v>1</v>
      </c>
      <c r="N904" s="1">
        <f t="shared" si="28"/>
        <v>0</v>
      </c>
      <c r="O904" s="1">
        <f t="shared" si="29"/>
        <v>1</v>
      </c>
    </row>
    <row r="905" spans="1:15" x14ac:dyDescent="0.25">
      <c r="A905" t="s">
        <v>2263</v>
      </c>
      <c r="B905" t="s">
        <v>2264</v>
      </c>
      <c r="C905" t="s">
        <v>2251</v>
      </c>
      <c r="D905">
        <v>4.32</v>
      </c>
      <c r="E905">
        <v>4.4800000000000004</v>
      </c>
      <c r="F905">
        <v>8.89</v>
      </c>
      <c r="G905">
        <v>20.8</v>
      </c>
      <c r="H905">
        <v>70.89</v>
      </c>
      <c r="I905">
        <v>1.74</v>
      </c>
      <c r="J905">
        <v>0</v>
      </c>
      <c r="K905" t="s">
        <v>1993</v>
      </c>
      <c r="L905">
        <v>1</v>
      </c>
      <c r="M905">
        <v>1</v>
      </c>
      <c r="N905" s="1">
        <f t="shared" si="28"/>
        <v>0</v>
      </c>
      <c r="O905" s="1">
        <f t="shared" si="29"/>
        <v>1</v>
      </c>
    </row>
    <row r="906" spans="1:15" x14ac:dyDescent="0.25">
      <c r="A906" t="s">
        <v>2265</v>
      </c>
      <c r="B906" t="s">
        <v>2266</v>
      </c>
      <c r="C906" t="s">
        <v>2262</v>
      </c>
      <c r="D906">
        <v>4.32</v>
      </c>
      <c r="E906">
        <v>3.98</v>
      </c>
      <c r="F906">
        <v>8.9</v>
      </c>
      <c r="G906">
        <v>20.67</v>
      </c>
      <c r="H906">
        <v>71.150000000000006</v>
      </c>
      <c r="I906">
        <v>1.77</v>
      </c>
      <c r="J906">
        <v>0</v>
      </c>
      <c r="K906" t="s">
        <v>1993</v>
      </c>
      <c r="L906">
        <v>1</v>
      </c>
      <c r="M906">
        <v>1</v>
      </c>
      <c r="N906" s="1">
        <f t="shared" si="28"/>
        <v>0</v>
      </c>
      <c r="O906" s="1">
        <f t="shared" si="29"/>
        <v>1</v>
      </c>
    </row>
    <row r="907" spans="1:15" x14ac:dyDescent="0.25">
      <c r="A907" t="s">
        <v>2267</v>
      </c>
      <c r="B907" t="s">
        <v>2268</v>
      </c>
      <c r="C907" t="s">
        <v>2262</v>
      </c>
      <c r="D907">
        <v>4.24</v>
      </c>
      <c r="E907">
        <v>3.97</v>
      </c>
      <c r="F907">
        <v>8.73</v>
      </c>
      <c r="G907">
        <v>19.899999999999999</v>
      </c>
      <c r="H907">
        <v>72.23</v>
      </c>
      <c r="I907">
        <v>1.79</v>
      </c>
      <c r="J907">
        <v>0</v>
      </c>
      <c r="K907" t="s">
        <v>1993</v>
      </c>
      <c r="L907">
        <v>1</v>
      </c>
      <c r="M907">
        <v>1</v>
      </c>
      <c r="N907" s="1">
        <f t="shared" si="28"/>
        <v>0</v>
      </c>
      <c r="O907" s="1">
        <f t="shared" si="29"/>
        <v>1</v>
      </c>
    </row>
    <row r="908" spans="1:15" x14ac:dyDescent="0.25">
      <c r="A908" t="s">
        <v>2269</v>
      </c>
      <c r="B908" t="s">
        <v>2270</v>
      </c>
      <c r="C908" t="s">
        <v>2271</v>
      </c>
      <c r="D908">
        <v>4.2</v>
      </c>
      <c r="F908">
        <v>10.45</v>
      </c>
      <c r="G908">
        <v>34</v>
      </c>
      <c r="H908">
        <v>51</v>
      </c>
      <c r="I908">
        <v>5</v>
      </c>
      <c r="J908">
        <v>22</v>
      </c>
      <c r="K908" t="s">
        <v>1993</v>
      </c>
      <c r="L908">
        <v>1</v>
      </c>
      <c r="M908">
        <v>1</v>
      </c>
      <c r="N908" s="1">
        <f t="shared" si="28"/>
        <v>0</v>
      </c>
      <c r="O908" s="1">
        <f t="shared" si="29"/>
        <v>1</v>
      </c>
    </row>
    <row r="909" spans="1:15" x14ac:dyDescent="0.25">
      <c r="A909" t="s">
        <v>2272</v>
      </c>
      <c r="B909" t="s">
        <v>2273</v>
      </c>
      <c r="C909" t="s">
        <v>2274</v>
      </c>
      <c r="D909">
        <v>4.08</v>
      </c>
      <c r="E909">
        <v>8.98</v>
      </c>
      <c r="F909">
        <v>8.39</v>
      </c>
      <c r="G909">
        <v>73.27</v>
      </c>
      <c r="H909">
        <v>3.8</v>
      </c>
      <c r="I909">
        <v>1</v>
      </c>
      <c r="J909">
        <v>43.52</v>
      </c>
      <c r="K909" t="s">
        <v>1993</v>
      </c>
      <c r="L909">
        <v>1</v>
      </c>
      <c r="M909">
        <v>1</v>
      </c>
      <c r="N909" s="1">
        <f t="shared" si="28"/>
        <v>0</v>
      </c>
      <c r="O909" s="1">
        <f t="shared" si="29"/>
        <v>1</v>
      </c>
    </row>
    <row r="910" spans="1:15" x14ac:dyDescent="0.25">
      <c r="A910" t="s">
        <v>2275</v>
      </c>
      <c r="B910" t="s">
        <v>2276</v>
      </c>
      <c r="C910" t="s">
        <v>2277</v>
      </c>
      <c r="D910">
        <v>4.07</v>
      </c>
      <c r="E910">
        <v>2.08</v>
      </c>
      <c r="F910">
        <v>8.39</v>
      </c>
      <c r="G910">
        <v>35.11</v>
      </c>
      <c r="H910">
        <v>54.21</v>
      </c>
      <c r="I910">
        <v>0.96</v>
      </c>
      <c r="J910">
        <v>18.3</v>
      </c>
      <c r="K910" t="s">
        <v>1993</v>
      </c>
      <c r="L910">
        <v>1</v>
      </c>
      <c r="M910">
        <v>1</v>
      </c>
      <c r="N910" s="1">
        <f t="shared" si="28"/>
        <v>0</v>
      </c>
      <c r="O910" s="1">
        <f t="shared" si="29"/>
        <v>1</v>
      </c>
    </row>
    <row r="911" spans="1:15" x14ac:dyDescent="0.25">
      <c r="A911" t="s">
        <v>2278</v>
      </c>
      <c r="B911" t="s">
        <v>2279</v>
      </c>
      <c r="C911" t="s">
        <v>2251</v>
      </c>
      <c r="D911">
        <v>4.04</v>
      </c>
      <c r="E911">
        <v>4.4800000000000004</v>
      </c>
      <c r="F911">
        <v>8.32</v>
      </c>
      <c r="G911">
        <v>16</v>
      </c>
      <c r="H911">
        <v>78</v>
      </c>
      <c r="I911">
        <v>2</v>
      </c>
      <c r="J911">
        <v>0</v>
      </c>
      <c r="K911" t="s">
        <v>1993</v>
      </c>
      <c r="L911">
        <v>1</v>
      </c>
      <c r="M911">
        <v>1</v>
      </c>
      <c r="N911" s="1">
        <f t="shared" si="28"/>
        <v>0</v>
      </c>
      <c r="O911" s="1">
        <f t="shared" si="29"/>
        <v>1</v>
      </c>
    </row>
    <row r="912" spans="1:15" x14ac:dyDescent="0.25">
      <c r="A912" t="s">
        <v>2280</v>
      </c>
      <c r="B912" t="s">
        <v>2281</v>
      </c>
      <c r="C912" t="s">
        <v>2282</v>
      </c>
      <c r="D912">
        <v>4.03</v>
      </c>
      <c r="E912">
        <v>6.72</v>
      </c>
      <c r="F912">
        <v>8.2899999999999991</v>
      </c>
      <c r="G912">
        <v>16</v>
      </c>
      <c r="H912">
        <v>49</v>
      </c>
      <c r="I912">
        <v>5</v>
      </c>
      <c r="J912">
        <v>24</v>
      </c>
      <c r="K912" t="s">
        <v>1993</v>
      </c>
      <c r="L912">
        <v>1</v>
      </c>
      <c r="M912">
        <v>1</v>
      </c>
      <c r="N912" s="1">
        <f t="shared" si="28"/>
        <v>0</v>
      </c>
      <c r="O912" s="1">
        <f t="shared" si="29"/>
        <v>1</v>
      </c>
    </row>
    <row r="913" spans="1:15" x14ac:dyDescent="0.25">
      <c r="A913" t="s">
        <v>2283</v>
      </c>
      <c r="B913" t="s">
        <v>2284</v>
      </c>
      <c r="C913" t="s">
        <v>2251</v>
      </c>
      <c r="D913">
        <v>4.0199999999999996</v>
      </c>
      <c r="E913">
        <v>4.49</v>
      </c>
      <c r="F913">
        <v>8.27</v>
      </c>
      <c r="G913">
        <v>16</v>
      </c>
      <c r="H913">
        <v>78</v>
      </c>
      <c r="I913">
        <v>2</v>
      </c>
      <c r="J913">
        <v>0</v>
      </c>
      <c r="K913" t="s">
        <v>1993</v>
      </c>
      <c r="L913">
        <v>1</v>
      </c>
      <c r="M913">
        <v>1</v>
      </c>
      <c r="N913" s="1">
        <f t="shared" si="28"/>
        <v>0</v>
      </c>
      <c r="O913" s="1">
        <f t="shared" si="29"/>
        <v>1</v>
      </c>
    </row>
    <row r="914" spans="1:15" x14ac:dyDescent="0.25">
      <c r="A914" t="s">
        <v>2285</v>
      </c>
      <c r="B914" t="s">
        <v>2286</v>
      </c>
      <c r="D914">
        <v>4.01</v>
      </c>
      <c r="F914">
        <v>10.17</v>
      </c>
      <c r="G914">
        <v>15.83</v>
      </c>
      <c r="H914">
        <v>77.760000000000005</v>
      </c>
      <c r="I914">
        <v>4.88</v>
      </c>
      <c r="J914">
        <v>9.59</v>
      </c>
      <c r="K914" t="s">
        <v>1993</v>
      </c>
      <c r="L914">
        <v>1</v>
      </c>
      <c r="M914">
        <v>1</v>
      </c>
      <c r="N914" s="1">
        <f t="shared" si="28"/>
        <v>0</v>
      </c>
      <c r="O914" s="1">
        <f t="shared" si="29"/>
        <v>1</v>
      </c>
    </row>
    <row r="915" spans="1:15" x14ac:dyDescent="0.25">
      <c r="A915" t="s">
        <v>2287</v>
      </c>
      <c r="B915" t="s">
        <v>2288</v>
      </c>
      <c r="C915" t="s">
        <v>2251</v>
      </c>
      <c r="D915">
        <v>4</v>
      </c>
      <c r="E915">
        <v>4.49</v>
      </c>
      <c r="F915">
        <v>8.23</v>
      </c>
      <c r="G915">
        <v>16</v>
      </c>
      <c r="H915">
        <v>78</v>
      </c>
      <c r="I915">
        <v>2</v>
      </c>
      <c r="J915">
        <v>0</v>
      </c>
      <c r="K915" t="s">
        <v>1993</v>
      </c>
      <c r="L915">
        <v>1</v>
      </c>
      <c r="M915">
        <v>1</v>
      </c>
      <c r="N915" s="1">
        <f t="shared" si="28"/>
        <v>0</v>
      </c>
      <c r="O915" s="1">
        <f t="shared" si="29"/>
        <v>1</v>
      </c>
    </row>
    <row r="916" spans="1:15" x14ac:dyDescent="0.25">
      <c r="A916" t="s">
        <v>2289</v>
      </c>
      <c r="B916" t="s">
        <v>2290</v>
      </c>
      <c r="C916" t="s">
        <v>2251</v>
      </c>
      <c r="D916">
        <v>3.93</v>
      </c>
      <c r="E916">
        <v>4.49</v>
      </c>
      <c r="F916">
        <v>8.08</v>
      </c>
      <c r="G916">
        <v>16</v>
      </c>
      <c r="H916">
        <v>78</v>
      </c>
      <c r="I916">
        <v>2</v>
      </c>
      <c r="J916">
        <v>0</v>
      </c>
      <c r="K916" t="s">
        <v>1993</v>
      </c>
      <c r="L916">
        <v>1</v>
      </c>
      <c r="M916">
        <v>1</v>
      </c>
      <c r="N916" s="1">
        <f t="shared" si="28"/>
        <v>0</v>
      </c>
      <c r="O916" s="1">
        <f t="shared" si="29"/>
        <v>1</v>
      </c>
    </row>
    <row r="917" spans="1:15" x14ac:dyDescent="0.25">
      <c r="A917" t="s">
        <v>2291</v>
      </c>
      <c r="B917" t="s">
        <v>2292</v>
      </c>
      <c r="C917" t="s">
        <v>2251</v>
      </c>
      <c r="D917">
        <v>3.9</v>
      </c>
      <c r="E917">
        <v>4.49</v>
      </c>
      <c r="F917">
        <v>8.02</v>
      </c>
      <c r="G917">
        <v>16</v>
      </c>
      <c r="H917">
        <v>78</v>
      </c>
      <c r="I917">
        <v>2</v>
      </c>
      <c r="J917">
        <v>0</v>
      </c>
      <c r="K917" t="s">
        <v>1993</v>
      </c>
      <c r="L917">
        <v>1</v>
      </c>
      <c r="M917">
        <v>1</v>
      </c>
      <c r="N917" s="1">
        <f t="shared" si="28"/>
        <v>0</v>
      </c>
      <c r="O917" s="1">
        <f t="shared" si="29"/>
        <v>1</v>
      </c>
    </row>
    <row r="918" spans="1:15" x14ac:dyDescent="0.25">
      <c r="A918" t="s">
        <v>2293</v>
      </c>
      <c r="B918" t="s">
        <v>2294</v>
      </c>
      <c r="C918" t="s">
        <v>2024</v>
      </c>
      <c r="D918">
        <v>3.9</v>
      </c>
      <c r="E918">
        <v>12.43</v>
      </c>
      <c r="F918">
        <v>8.01</v>
      </c>
      <c r="G918">
        <v>84.14</v>
      </c>
      <c r="H918">
        <v>10.33</v>
      </c>
      <c r="I918">
        <v>5.53</v>
      </c>
      <c r="J918">
        <v>73.3</v>
      </c>
      <c r="K918" t="s">
        <v>1993</v>
      </c>
      <c r="L918">
        <v>1</v>
      </c>
      <c r="M918">
        <v>1</v>
      </c>
      <c r="N918" s="1">
        <f t="shared" si="28"/>
        <v>0</v>
      </c>
      <c r="O918" s="1">
        <f t="shared" si="29"/>
        <v>1</v>
      </c>
    </row>
    <row r="919" spans="1:15" x14ac:dyDescent="0.25">
      <c r="A919" t="s">
        <v>2295</v>
      </c>
      <c r="B919" t="s">
        <v>2296</v>
      </c>
      <c r="C919" t="s">
        <v>2297</v>
      </c>
      <c r="D919">
        <v>3.85</v>
      </c>
      <c r="E919">
        <v>1.56</v>
      </c>
      <c r="F919">
        <v>7.91</v>
      </c>
      <c r="G919">
        <v>35.43</v>
      </c>
      <c r="H919">
        <v>61.02</v>
      </c>
      <c r="I919">
        <v>0.98</v>
      </c>
      <c r="J919">
        <v>21.24</v>
      </c>
      <c r="K919" t="s">
        <v>1993</v>
      </c>
      <c r="L919">
        <v>1</v>
      </c>
      <c r="M919">
        <v>1</v>
      </c>
      <c r="N919" s="1">
        <f t="shared" si="28"/>
        <v>0</v>
      </c>
      <c r="O919" s="1">
        <f t="shared" si="29"/>
        <v>1</v>
      </c>
    </row>
    <row r="920" spans="1:15" x14ac:dyDescent="0.25">
      <c r="A920" t="s">
        <v>2298</v>
      </c>
      <c r="B920" t="s">
        <v>2299</v>
      </c>
      <c r="C920" t="s">
        <v>2251</v>
      </c>
      <c r="D920">
        <v>3.85</v>
      </c>
      <c r="E920">
        <v>4.4800000000000004</v>
      </c>
      <c r="F920">
        <v>7.91</v>
      </c>
      <c r="G920">
        <v>16</v>
      </c>
      <c r="H920">
        <v>78</v>
      </c>
      <c r="I920">
        <v>2</v>
      </c>
      <c r="J920">
        <v>0</v>
      </c>
      <c r="K920" t="s">
        <v>1993</v>
      </c>
      <c r="L920">
        <v>1</v>
      </c>
      <c r="M920">
        <v>1</v>
      </c>
      <c r="N920" s="1">
        <f t="shared" si="28"/>
        <v>0</v>
      </c>
      <c r="O920" s="1">
        <f t="shared" si="29"/>
        <v>1</v>
      </c>
    </row>
    <row r="921" spans="1:15" x14ac:dyDescent="0.25">
      <c r="A921" t="s">
        <v>2300</v>
      </c>
      <c r="B921" t="s">
        <v>2301</v>
      </c>
      <c r="C921" t="s">
        <v>2302</v>
      </c>
      <c r="D921">
        <v>3.77</v>
      </c>
      <c r="E921">
        <v>3.4</v>
      </c>
      <c r="F921">
        <v>7.76</v>
      </c>
      <c r="G921">
        <v>18.510000000000002</v>
      </c>
      <c r="H921">
        <v>67.03</v>
      </c>
      <c r="I921">
        <v>1.8</v>
      </c>
      <c r="J921">
        <v>6.23</v>
      </c>
      <c r="K921" t="s">
        <v>1993</v>
      </c>
      <c r="L921">
        <v>1</v>
      </c>
      <c r="M921">
        <v>1</v>
      </c>
      <c r="N921" s="1">
        <f t="shared" si="28"/>
        <v>0</v>
      </c>
      <c r="O921" s="1">
        <f t="shared" si="29"/>
        <v>1</v>
      </c>
    </row>
    <row r="922" spans="1:15" x14ac:dyDescent="0.25">
      <c r="A922" t="s">
        <v>2303</v>
      </c>
      <c r="B922" t="s">
        <v>2304</v>
      </c>
      <c r="C922" t="s">
        <v>2305</v>
      </c>
      <c r="D922">
        <v>3.63</v>
      </c>
      <c r="E922">
        <v>0.02</v>
      </c>
      <c r="F922">
        <v>7.46</v>
      </c>
      <c r="G922">
        <v>55.95</v>
      </c>
      <c r="H922">
        <v>0</v>
      </c>
      <c r="I922">
        <v>1</v>
      </c>
      <c r="J922">
        <v>10.050000000000001</v>
      </c>
      <c r="K922" t="s">
        <v>1993</v>
      </c>
      <c r="L922">
        <v>1</v>
      </c>
      <c r="M922">
        <v>1</v>
      </c>
      <c r="N922" s="1">
        <f t="shared" si="28"/>
        <v>0</v>
      </c>
      <c r="O922" s="1">
        <f t="shared" si="29"/>
        <v>1</v>
      </c>
    </row>
    <row r="923" spans="1:15" x14ac:dyDescent="0.25">
      <c r="A923" t="s">
        <v>2306</v>
      </c>
      <c r="B923" t="s">
        <v>2307</v>
      </c>
      <c r="C923" t="s">
        <v>2308</v>
      </c>
      <c r="D923">
        <v>3.61</v>
      </c>
      <c r="E923">
        <v>8.5500000000000007</v>
      </c>
      <c r="F923">
        <v>7.41</v>
      </c>
      <c r="G923">
        <v>95</v>
      </c>
      <c r="H923">
        <v>0</v>
      </c>
      <c r="I923">
        <v>5</v>
      </c>
      <c r="J923">
        <v>45</v>
      </c>
      <c r="K923" t="s">
        <v>1993</v>
      </c>
      <c r="L923">
        <v>1</v>
      </c>
      <c r="M923">
        <v>1</v>
      </c>
      <c r="N923" s="1">
        <f t="shared" si="28"/>
        <v>0</v>
      </c>
      <c r="O923" s="1">
        <f t="shared" si="29"/>
        <v>1</v>
      </c>
    </row>
    <row r="924" spans="1:15" x14ac:dyDescent="0.25">
      <c r="A924" t="s">
        <v>2309</v>
      </c>
      <c r="B924" t="s">
        <v>2310</v>
      </c>
      <c r="C924" t="s">
        <v>2311</v>
      </c>
      <c r="D924">
        <v>3.51</v>
      </c>
      <c r="E924">
        <v>2.6</v>
      </c>
      <c r="F924">
        <v>7.2</v>
      </c>
      <c r="G924">
        <v>14.18</v>
      </c>
      <c r="H924">
        <v>82.63</v>
      </c>
      <c r="I924">
        <v>0.98</v>
      </c>
      <c r="J924">
        <v>1.8</v>
      </c>
      <c r="K924" t="s">
        <v>1993</v>
      </c>
      <c r="L924">
        <v>1</v>
      </c>
      <c r="M924">
        <v>1</v>
      </c>
      <c r="N924" s="1">
        <f t="shared" si="28"/>
        <v>0</v>
      </c>
      <c r="O924" s="1">
        <f t="shared" si="29"/>
        <v>1</v>
      </c>
    </row>
    <row r="925" spans="1:15" x14ac:dyDescent="0.25">
      <c r="A925" t="s">
        <v>2312</v>
      </c>
      <c r="B925" t="s">
        <v>2313</v>
      </c>
      <c r="C925" t="s">
        <v>2314</v>
      </c>
      <c r="D925">
        <v>3.48</v>
      </c>
      <c r="E925">
        <v>3.29</v>
      </c>
      <c r="F925">
        <v>7.14</v>
      </c>
      <c r="G925">
        <v>15</v>
      </c>
      <c r="H925">
        <v>83.17</v>
      </c>
      <c r="I925">
        <v>1.83</v>
      </c>
      <c r="J925">
        <v>2.5</v>
      </c>
      <c r="K925" t="s">
        <v>1993</v>
      </c>
      <c r="L925">
        <v>1</v>
      </c>
      <c r="M925">
        <v>1</v>
      </c>
      <c r="N925" s="1">
        <f t="shared" si="28"/>
        <v>0</v>
      </c>
      <c r="O925" s="1">
        <f t="shared" si="29"/>
        <v>1</v>
      </c>
    </row>
    <row r="926" spans="1:15" x14ac:dyDescent="0.25">
      <c r="A926" t="s">
        <v>2315</v>
      </c>
      <c r="B926" t="s">
        <v>2316</v>
      </c>
      <c r="C926" t="s">
        <v>2317</v>
      </c>
      <c r="D926">
        <v>3.4</v>
      </c>
      <c r="E926">
        <v>8.4700000000000006</v>
      </c>
      <c r="F926">
        <v>6.96</v>
      </c>
      <c r="G926">
        <v>47.22</v>
      </c>
      <c r="H926">
        <v>7.25</v>
      </c>
      <c r="I926">
        <v>1.5</v>
      </c>
      <c r="J926">
        <v>14.54</v>
      </c>
      <c r="K926" t="s">
        <v>1993</v>
      </c>
      <c r="L926">
        <v>1</v>
      </c>
      <c r="M926">
        <v>1</v>
      </c>
      <c r="N926" s="1">
        <f t="shared" si="28"/>
        <v>0</v>
      </c>
      <c r="O926" s="1">
        <f t="shared" si="29"/>
        <v>1</v>
      </c>
    </row>
    <row r="927" spans="1:15" x14ac:dyDescent="0.25">
      <c r="A927" t="s">
        <v>2318</v>
      </c>
      <c r="B927" t="s">
        <v>2319</v>
      </c>
      <c r="C927" t="s">
        <v>97</v>
      </c>
      <c r="D927">
        <v>3.07</v>
      </c>
      <c r="E927">
        <v>8.6300000000000008</v>
      </c>
      <c r="F927">
        <v>6.29</v>
      </c>
      <c r="G927">
        <v>72.8</v>
      </c>
      <c r="H927">
        <v>0</v>
      </c>
      <c r="I927">
        <v>1.5</v>
      </c>
      <c r="J927">
        <v>23</v>
      </c>
      <c r="K927" t="s">
        <v>1993</v>
      </c>
      <c r="L927">
        <v>1</v>
      </c>
      <c r="M927">
        <v>1</v>
      </c>
      <c r="N927" s="1">
        <f t="shared" si="28"/>
        <v>0</v>
      </c>
      <c r="O927" s="1">
        <f t="shared" si="29"/>
        <v>1</v>
      </c>
    </row>
    <row r="928" spans="1:15" x14ac:dyDescent="0.25">
      <c r="A928" t="s">
        <v>2320</v>
      </c>
      <c r="B928" t="s">
        <v>2321</v>
      </c>
      <c r="C928" t="s">
        <v>2322</v>
      </c>
      <c r="D928">
        <v>3.03</v>
      </c>
      <c r="E928">
        <v>2.4700000000000002</v>
      </c>
      <c r="F928">
        <v>6.2</v>
      </c>
      <c r="G928">
        <v>0</v>
      </c>
      <c r="H928">
        <v>0</v>
      </c>
      <c r="I928">
        <v>100</v>
      </c>
      <c r="J928">
        <v>0</v>
      </c>
      <c r="K928" t="s">
        <v>1993</v>
      </c>
      <c r="L928">
        <v>1</v>
      </c>
      <c r="M928">
        <v>1</v>
      </c>
      <c r="N928" s="1">
        <f t="shared" si="28"/>
        <v>0</v>
      </c>
      <c r="O928" s="1">
        <f t="shared" si="29"/>
        <v>1</v>
      </c>
    </row>
    <row r="929" spans="1:15" x14ac:dyDescent="0.25">
      <c r="A929" t="s">
        <v>2323</v>
      </c>
      <c r="B929" t="s">
        <v>2324</v>
      </c>
      <c r="C929" t="s">
        <v>2325</v>
      </c>
      <c r="D929">
        <v>2.98</v>
      </c>
      <c r="E929">
        <v>2.4900000000000002</v>
      </c>
      <c r="F929">
        <v>6.1</v>
      </c>
      <c r="G929">
        <v>9</v>
      </c>
      <c r="H929">
        <v>80</v>
      </c>
      <c r="I929">
        <v>2</v>
      </c>
      <c r="J929">
        <v>1</v>
      </c>
      <c r="K929" t="s">
        <v>1993</v>
      </c>
      <c r="L929">
        <v>1</v>
      </c>
      <c r="M929">
        <v>1</v>
      </c>
      <c r="N929" s="1">
        <f t="shared" si="28"/>
        <v>0</v>
      </c>
      <c r="O929" s="1">
        <f t="shared" si="29"/>
        <v>1</v>
      </c>
    </row>
    <row r="930" spans="1:15" x14ac:dyDescent="0.25">
      <c r="A930" t="s">
        <v>2326</v>
      </c>
      <c r="B930" t="s">
        <v>2327</v>
      </c>
      <c r="C930" t="s">
        <v>2328</v>
      </c>
      <c r="D930">
        <v>2.96</v>
      </c>
      <c r="E930">
        <v>8.4499999999999993</v>
      </c>
      <c r="F930">
        <v>6.05</v>
      </c>
      <c r="G930">
        <v>75.5</v>
      </c>
      <c r="H930">
        <v>4.5</v>
      </c>
      <c r="I930">
        <v>1</v>
      </c>
      <c r="J930">
        <v>56</v>
      </c>
      <c r="K930" t="s">
        <v>1993</v>
      </c>
      <c r="L930">
        <v>1</v>
      </c>
      <c r="M930">
        <v>1</v>
      </c>
      <c r="N930" s="1">
        <f t="shared" si="28"/>
        <v>0</v>
      </c>
      <c r="O930" s="1">
        <f t="shared" si="29"/>
        <v>1</v>
      </c>
    </row>
    <row r="931" spans="1:15" x14ac:dyDescent="0.25">
      <c r="A931" t="s">
        <v>2329</v>
      </c>
      <c r="B931" t="s">
        <v>2330</v>
      </c>
      <c r="C931" t="s">
        <v>2331</v>
      </c>
      <c r="D931">
        <v>2.82</v>
      </c>
      <c r="E931">
        <v>2.27</v>
      </c>
      <c r="F931">
        <v>5.76</v>
      </c>
      <c r="G931">
        <v>2.81</v>
      </c>
      <c r="H931">
        <v>63.66</v>
      </c>
      <c r="I931">
        <v>1.5</v>
      </c>
      <c r="J931">
        <v>2.81</v>
      </c>
      <c r="K931" t="s">
        <v>1993</v>
      </c>
      <c r="L931">
        <v>1</v>
      </c>
      <c r="M931">
        <v>1</v>
      </c>
      <c r="N931" s="1">
        <f t="shared" si="28"/>
        <v>0</v>
      </c>
      <c r="O931" s="1">
        <f t="shared" si="29"/>
        <v>1</v>
      </c>
    </row>
    <row r="932" spans="1:15" x14ac:dyDescent="0.25">
      <c r="A932" t="s">
        <v>2332</v>
      </c>
      <c r="B932" t="s">
        <v>2333</v>
      </c>
      <c r="C932" t="s">
        <v>2334</v>
      </c>
      <c r="D932">
        <v>2.81</v>
      </c>
      <c r="E932">
        <v>2.72</v>
      </c>
      <c r="F932">
        <v>5.75</v>
      </c>
      <c r="G932">
        <v>10.53</v>
      </c>
      <c r="H932">
        <v>44.05</v>
      </c>
      <c r="I932">
        <v>0.98</v>
      </c>
      <c r="J932">
        <v>29.63</v>
      </c>
      <c r="K932" t="s">
        <v>1993</v>
      </c>
      <c r="L932">
        <v>1</v>
      </c>
      <c r="M932">
        <v>1</v>
      </c>
      <c r="N932" s="1">
        <f t="shared" si="28"/>
        <v>0</v>
      </c>
      <c r="O932" s="1">
        <f t="shared" si="29"/>
        <v>1</v>
      </c>
    </row>
    <row r="933" spans="1:15" x14ac:dyDescent="0.25">
      <c r="A933" t="s">
        <v>2335</v>
      </c>
      <c r="B933" t="s">
        <v>2336</v>
      </c>
      <c r="C933" t="s">
        <v>2337</v>
      </c>
      <c r="D933">
        <v>2.81</v>
      </c>
      <c r="E933">
        <v>3.92</v>
      </c>
      <c r="F933">
        <v>5.75</v>
      </c>
      <c r="G933">
        <v>50.81</v>
      </c>
      <c r="H933">
        <v>48.19</v>
      </c>
      <c r="I933">
        <v>1</v>
      </c>
      <c r="J933">
        <v>18.670000000000002</v>
      </c>
      <c r="K933" t="s">
        <v>1993</v>
      </c>
      <c r="L933">
        <v>1</v>
      </c>
      <c r="M933">
        <v>1</v>
      </c>
      <c r="N933" s="1">
        <f t="shared" si="28"/>
        <v>0</v>
      </c>
      <c r="O933" s="1">
        <f t="shared" si="29"/>
        <v>1</v>
      </c>
    </row>
    <row r="934" spans="1:15" x14ac:dyDescent="0.25">
      <c r="A934" t="s">
        <v>2338</v>
      </c>
      <c r="B934" t="s">
        <v>2339</v>
      </c>
      <c r="C934" t="s">
        <v>2340</v>
      </c>
      <c r="D934">
        <v>2.8</v>
      </c>
      <c r="E934">
        <v>-7.06</v>
      </c>
      <c r="F934">
        <v>5.72</v>
      </c>
      <c r="G934">
        <v>69.3</v>
      </c>
      <c r="H934">
        <v>0</v>
      </c>
      <c r="I934">
        <v>1</v>
      </c>
      <c r="J934">
        <v>0</v>
      </c>
      <c r="K934" t="s">
        <v>1993</v>
      </c>
      <c r="L934">
        <v>1</v>
      </c>
      <c r="M934">
        <v>1</v>
      </c>
      <c r="N934" s="1">
        <f t="shared" si="28"/>
        <v>0</v>
      </c>
      <c r="O934" s="1">
        <f t="shared" si="29"/>
        <v>1</v>
      </c>
    </row>
    <row r="935" spans="1:15" x14ac:dyDescent="0.25">
      <c r="A935" t="s">
        <v>2341</v>
      </c>
      <c r="B935" t="s">
        <v>2342</v>
      </c>
      <c r="C935" t="s">
        <v>2343</v>
      </c>
      <c r="D935">
        <v>2.66</v>
      </c>
      <c r="E935">
        <v>2.19</v>
      </c>
      <c r="F935">
        <v>5.44</v>
      </c>
      <c r="G935">
        <v>7.55</v>
      </c>
      <c r="H935">
        <v>67.349999999999994</v>
      </c>
      <c r="I935">
        <v>0.98</v>
      </c>
      <c r="J935">
        <v>17.98</v>
      </c>
      <c r="K935" t="s">
        <v>1993</v>
      </c>
      <c r="L935">
        <v>1</v>
      </c>
      <c r="M935">
        <v>1</v>
      </c>
      <c r="N935" s="1">
        <f t="shared" si="28"/>
        <v>0</v>
      </c>
      <c r="O935" s="1">
        <f t="shared" si="29"/>
        <v>1</v>
      </c>
    </row>
    <row r="936" spans="1:15" x14ac:dyDescent="0.25">
      <c r="A936" t="s">
        <v>2344</v>
      </c>
      <c r="B936" t="s">
        <v>2345</v>
      </c>
      <c r="C936" t="s">
        <v>2346</v>
      </c>
      <c r="D936">
        <v>2.65</v>
      </c>
      <c r="E936">
        <v>3.28</v>
      </c>
      <c r="F936">
        <v>5.41</v>
      </c>
      <c r="G936">
        <v>24.37</v>
      </c>
      <c r="H936">
        <v>66.44</v>
      </c>
      <c r="I936">
        <v>0.96</v>
      </c>
      <c r="J936">
        <v>58.3</v>
      </c>
      <c r="K936" t="s">
        <v>1993</v>
      </c>
      <c r="L936">
        <v>1</v>
      </c>
      <c r="M936">
        <v>1</v>
      </c>
      <c r="N936" s="1">
        <f t="shared" si="28"/>
        <v>0</v>
      </c>
      <c r="O936" s="1">
        <f t="shared" si="29"/>
        <v>1</v>
      </c>
    </row>
    <row r="937" spans="1:15" x14ac:dyDescent="0.25">
      <c r="A937" t="s">
        <v>2347</v>
      </c>
      <c r="B937" t="s">
        <v>2348</v>
      </c>
      <c r="C937" t="s">
        <v>2349</v>
      </c>
      <c r="D937">
        <v>2.4900000000000002</v>
      </c>
      <c r="E937">
        <v>0</v>
      </c>
      <c r="F937">
        <v>5.09</v>
      </c>
      <c r="G937">
        <v>10.5</v>
      </c>
      <c r="H937">
        <v>63</v>
      </c>
      <c r="I937">
        <v>2</v>
      </c>
      <c r="J937">
        <v>8</v>
      </c>
      <c r="K937" t="s">
        <v>1993</v>
      </c>
      <c r="L937">
        <v>1</v>
      </c>
      <c r="M937">
        <v>1</v>
      </c>
      <c r="N937" s="1">
        <f t="shared" si="28"/>
        <v>0</v>
      </c>
      <c r="O937" s="1">
        <f t="shared" si="29"/>
        <v>1</v>
      </c>
    </row>
    <row r="938" spans="1:15" x14ac:dyDescent="0.25">
      <c r="A938" t="s">
        <v>2350</v>
      </c>
      <c r="B938" t="s">
        <v>2351</v>
      </c>
      <c r="D938">
        <v>2.41</v>
      </c>
      <c r="E938">
        <v>0</v>
      </c>
      <c r="F938">
        <v>4.92</v>
      </c>
      <c r="G938">
        <v>16.61</v>
      </c>
      <c r="H938">
        <v>48.57</v>
      </c>
      <c r="I938">
        <v>21.37</v>
      </c>
      <c r="J938">
        <v>11.68</v>
      </c>
      <c r="K938" t="s">
        <v>1993</v>
      </c>
      <c r="L938">
        <v>1</v>
      </c>
      <c r="M938">
        <v>1</v>
      </c>
      <c r="N938" s="1">
        <f t="shared" si="28"/>
        <v>0</v>
      </c>
      <c r="O938" s="1">
        <f t="shared" si="29"/>
        <v>1</v>
      </c>
    </row>
    <row r="939" spans="1:15" x14ac:dyDescent="0.25">
      <c r="A939" t="s">
        <v>2352</v>
      </c>
      <c r="B939" t="s">
        <v>2353</v>
      </c>
      <c r="C939" t="s">
        <v>2354</v>
      </c>
      <c r="D939">
        <v>2.29</v>
      </c>
      <c r="E939">
        <v>2.89</v>
      </c>
      <c r="F939">
        <v>4.68</v>
      </c>
      <c r="G939">
        <v>11.42</v>
      </c>
      <c r="H939">
        <v>82.49</v>
      </c>
      <c r="I939">
        <v>3.03</v>
      </c>
      <c r="J939">
        <v>0</v>
      </c>
      <c r="K939" t="s">
        <v>1993</v>
      </c>
      <c r="L939">
        <v>1</v>
      </c>
      <c r="M939">
        <v>1</v>
      </c>
      <c r="N939" s="1">
        <f t="shared" si="28"/>
        <v>0</v>
      </c>
      <c r="O939" s="1">
        <f t="shared" si="29"/>
        <v>1</v>
      </c>
    </row>
    <row r="940" spans="1:15" x14ac:dyDescent="0.25">
      <c r="A940" t="s">
        <v>2355</v>
      </c>
      <c r="B940" t="s">
        <v>2356</v>
      </c>
      <c r="C940" t="s">
        <v>2357</v>
      </c>
      <c r="D940">
        <v>2.2599999999999998</v>
      </c>
      <c r="E940">
        <v>2.29</v>
      </c>
      <c r="F940">
        <v>4.5999999999999996</v>
      </c>
      <c r="G940">
        <v>5.5</v>
      </c>
      <c r="H940">
        <v>91.44</v>
      </c>
      <c r="I940">
        <v>1.96</v>
      </c>
      <c r="J940">
        <v>1.1000000000000001</v>
      </c>
      <c r="K940" t="s">
        <v>1993</v>
      </c>
      <c r="L940">
        <v>1</v>
      </c>
      <c r="M940">
        <v>1</v>
      </c>
      <c r="N940" s="1">
        <f t="shared" si="28"/>
        <v>0</v>
      </c>
      <c r="O940" s="1">
        <f t="shared" si="29"/>
        <v>1</v>
      </c>
    </row>
    <row r="941" spans="1:15" x14ac:dyDescent="0.25">
      <c r="A941" t="s">
        <v>2358</v>
      </c>
      <c r="B941" t="s">
        <v>2359</v>
      </c>
      <c r="C941" t="s">
        <v>659</v>
      </c>
      <c r="D941">
        <v>2.23</v>
      </c>
      <c r="E941">
        <v>3.31</v>
      </c>
      <c r="F941">
        <v>4.55</v>
      </c>
      <c r="G941">
        <v>15</v>
      </c>
      <c r="H941">
        <v>55</v>
      </c>
      <c r="I941">
        <v>1</v>
      </c>
      <c r="J941">
        <v>25.5</v>
      </c>
      <c r="K941" t="s">
        <v>1993</v>
      </c>
      <c r="L941">
        <v>1</v>
      </c>
      <c r="M941">
        <v>1</v>
      </c>
      <c r="N941" s="1">
        <f t="shared" si="28"/>
        <v>0</v>
      </c>
      <c r="O941" s="1">
        <f t="shared" si="29"/>
        <v>1</v>
      </c>
    </row>
    <row r="942" spans="1:15" x14ac:dyDescent="0.25">
      <c r="A942" t="s">
        <v>2360</v>
      </c>
      <c r="B942" t="s">
        <v>2361</v>
      </c>
      <c r="C942" t="s">
        <v>2221</v>
      </c>
      <c r="D942">
        <v>2.19</v>
      </c>
      <c r="E942">
        <v>8.99</v>
      </c>
      <c r="F942">
        <v>4.47</v>
      </c>
      <c r="G942">
        <v>57.03</v>
      </c>
      <c r="H942">
        <v>8.9700000000000006</v>
      </c>
      <c r="I942">
        <v>1</v>
      </c>
      <c r="J942">
        <v>45.03</v>
      </c>
      <c r="K942" t="s">
        <v>1993</v>
      </c>
      <c r="L942">
        <v>1</v>
      </c>
      <c r="M942">
        <v>1</v>
      </c>
      <c r="N942" s="1">
        <f t="shared" si="28"/>
        <v>0</v>
      </c>
      <c r="O942" s="1">
        <f t="shared" si="29"/>
        <v>1</v>
      </c>
    </row>
    <row r="943" spans="1:15" x14ac:dyDescent="0.25">
      <c r="A943" t="s">
        <v>2362</v>
      </c>
      <c r="B943" t="s">
        <v>2363</v>
      </c>
      <c r="C943" t="s">
        <v>2364</v>
      </c>
      <c r="D943">
        <v>2.19</v>
      </c>
      <c r="E943">
        <v>2.29</v>
      </c>
      <c r="F943">
        <v>4.46</v>
      </c>
      <c r="G943">
        <v>10.28</v>
      </c>
      <c r="H943">
        <v>88.72</v>
      </c>
      <c r="I943">
        <v>0.99</v>
      </c>
      <c r="J943">
        <v>4.1900000000000004</v>
      </c>
      <c r="K943" t="s">
        <v>1993</v>
      </c>
      <c r="L943">
        <v>1</v>
      </c>
      <c r="M943">
        <v>1</v>
      </c>
      <c r="N943" s="1">
        <f t="shared" si="28"/>
        <v>0</v>
      </c>
      <c r="O943" s="1">
        <f t="shared" si="29"/>
        <v>1</v>
      </c>
    </row>
    <row r="944" spans="1:15" x14ac:dyDescent="0.25">
      <c r="A944" t="s">
        <v>2365</v>
      </c>
      <c r="B944" t="s">
        <v>2366</v>
      </c>
      <c r="C944" t="s">
        <v>2367</v>
      </c>
      <c r="D944">
        <v>2.16</v>
      </c>
      <c r="E944">
        <v>1.52</v>
      </c>
      <c r="F944">
        <v>4.4000000000000004</v>
      </c>
      <c r="G944">
        <v>3.88</v>
      </c>
      <c r="H944">
        <v>78.67</v>
      </c>
      <c r="I944">
        <v>1.03</v>
      </c>
      <c r="J944">
        <v>14.02</v>
      </c>
      <c r="K944" t="s">
        <v>1993</v>
      </c>
      <c r="L944">
        <v>1</v>
      </c>
      <c r="M944">
        <v>1</v>
      </c>
      <c r="N944" s="1">
        <f t="shared" si="28"/>
        <v>0</v>
      </c>
      <c r="O944" s="1">
        <f t="shared" si="29"/>
        <v>1</v>
      </c>
    </row>
    <row r="945" spans="1:15" x14ac:dyDescent="0.25">
      <c r="A945" t="s">
        <v>2368</v>
      </c>
      <c r="B945" t="s">
        <v>2366</v>
      </c>
      <c r="D945">
        <v>2.16</v>
      </c>
      <c r="E945">
        <v>0</v>
      </c>
      <c r="F945">
        <v>4.3899999999999997</v>
      </c>
      <c r="G945">
        <v>4</v>
      </c>
      <c r="H945">
        <v>78.37</v>
      </c>
      <c r="I945">
        <v>1.03</v>
      </c>
      <c r="J945">
        <v>14</v>
      </c>
      <c r="K945" t="s">
        <v>1993</v>
      </c>
      <c r="L945">
        <v>1</v>
      </c>
      <c r="M945">
        <v>1</v>
      </c>
      <c r="N945" s="1">
        <f t="shared" si="28"/>
        <v>0</v>
      </c>
      <c r="O945" s="1">
        <f t="shared" si="29"/>
        <v>1</v>
      </c>
    </row>
    <row r="946" spans="1:15" x14ac:dyDescent="0.25">
      <c r="A946" t="s">
        <v>2369</v>
      </c>
      <c r="B946" t="s">
        <v>2370</v>
      </c>
      <c r="C946" t="s">
        <v>2371</v>
      </c>
      <c r="D946">
        <v>2.12</v>
      </c>
      <c r="E946">
        <v>16.55</v>
      </c>
      <c r="F946">
        <v>4.32</v>
      </c>
      <c r="G946">
        <v>75</v>
      </c>
      <c r="H946">
        <v>0</v>
      </c>
      <c r="I946">
        <v>5</v>
      </c>
      <c r="J946">
        <v>2</v>
      </c>
      <c r="K946" t="s">
        <v>1993</v>
      </c>
      <c r="L946">
        <v>1</v>
      </c>
      <c r="M946">
        <v>1</v>
      </c>
      <c r="N946" s="1">
        <f t="shared" si="28"/>
        <v>0</v>
      </c>
      <c r="O946" s="1">
        <f t="shared" si="29"/>
        <v>1</v>
      </c>
    </row>
    <row r="947" spans="1:15" x14ac:dyDescent="0.25">
      <c r="A947" t="s">
        <v>2372</v>
      </c>
      <c r="B947" t="s">
        <v>2373</v>
      </c>
      <c r="C947" t="s">
        <v>97</v>
      </c>
      <c r="D947">
        <v>2.1</v>
      </c>
      <c r="E947">
        <v>8.6199999999999992</v>
      </c>
      <c r="F947">
        <v>4.29</v>
      </c>
      <c r="G947">
        <v>80.599999999999994</v>
      </c>
      <c r="H947">
        <v>8</v>
      </c>
      <c r="I947">
        <v>1</v>
      </c>
      <c r="J947">
        <v>62.9</v>
      </c>
      <c r="K947" t="s">
        <v>1993</v>
      </c>
      <c r="L947">
        <v>1</v>
      </c>
      <c r="M947">
        <v>1</v>
      </c>
      <c r="N947" s="1">
        <f t="shared" si="28"/>
        <v>0</v>
      </c>
      <c r="O947" s="1">
        <f t="shared" si="29"/>
        <v>1</v>
      </c>
    </row>
    <row r="948" spans="1:15" x14ac:dyDescent="0.25">
      <c r="A948" t="s">
        <v>2374</v>
      </c>
      <c r="B948" t="s">
        <v>2375</v>
      </c>
      <c r="C948" t="s">
        <v>2376</v>
      </c>
      <c r="D948">
        <v>2.06</v>
      </c>
      <c r="E948">
        <v>4.17</v>
      </c>
      <c r="F948">
        <v>4.21</v>
      </c>
      <c r="G948">
        <v>22.23</v>
      </c>
      <c r="H948">
        <v>50.44</v>
      </c>
      <c r="I948">
        <v>1.07</v>
      </c>
      <c r="J948">
        <v>8</v>
      </c>
      <c r="K948" t="s">
        <v>1993</v>
      </c>
      <c r="L948">
        <v>1</v>
      </c>
      <c r="M948">
        <v>1</v>
      </c>
      <c r="N948" s="1">
        <f t="shared" si="28"/>
        <v>0</v>
      </c>
      <c r="O948" s="1">
        <f t="shared" si="29"/>
        <v>1</v>
      </c>
    </row>
    <row r="949" spans="1:15" x14ac:dyDescent="0.25">
      <c r="A949" t="s">
        <v>2377</v>
      </c>
      <c r="B949" t="s">
        <v>2378</v>
      </c>
      <c r="D949">
        <v>2.0499999999999998</v>
      </c>
      <c r="E949">
        <v>0</v>
      </c>
      <c r="F949">
        <v>4.17</v>
      </c>
      <c r="G949">
        <v>28</v>
      </c>
      <c r="H949">
        <v>67</v>
      </c>
      <c r="I949">
        <v>1</v>
      </c>
      <c r="J949">
        <v>35</v>
      </c>
      <c r="K949" t="s">
        <v>1993</v>
      </c>
      <c r="L949">
        <v>1</v>
      </c>
      <c r="M949">
        <v>1</v>
      </c>
      <c r="N949" s="1">
        <f t="shared" si="28"/>
        <v>0</v>
      </c>
      <c r="O949" s="1">
        <f t="shared" si="29"/>
        <v>1</v>
      </c>
    </row>
    <row r="950" spans="1:15" x14ac:dyDescent="0.25">
      <c r="A950" t="s">
        <v>2379</v>
      </c>
      <c r="B950" t="s">
        <v>2380</v>
      </c>
      <c r="C950" t="s">
        <v>2381</v>
      </c>
      <c r="D950">
        <v>1.99</v>
      </c>
      <c r="E950">
        <v>1.6</v>
      </c>
      <c r="F950">
        <v>4.05</v>
      </c>
      <c r="G950">
        <v>10.7</v>
      </c>
      <c r="H950">
        <v>68.900000000000006</v>
      </c>
      <c r="I950">
        <v>8</v>
      </c>
      <c r="J950">
        <v>4.0999999999999996</v>
      </c>
      <c r="K950" t="s">
        <v>1993</v>
      </c>
      <c r="L950">
        <v>1</v>
      </c>
      <c r="M950">
        <v>1</v>
      </c>
      <c r="N950" s="1">
        <f t="shared" si="28"/>
        <v>0</v>
      </c>
      <c r="O950" s="1">
        <f t="shared" si="29"/>
        <v>1</v>
      </c>
    </row>
    <row r="951" spans="1:15" x14ac:dyDescent="0.25">
      <c r="A951" t="s">
        <v>2382</v>
      </c>
      <c r="B951" t="s">
        <v>2383</v>
      </c>
      <c r="C951" t="s">
        <v>2384</v>
      </c>
      <c r="D951">
        <v>1.98</v>
      </c>
      <c r="E951">
        <v>7.39</v>
      </c>
      <c r="F951">
        <v>4.04</v>
      </c>
      <c r="G951">
        <v>60</v>
      </c>
      <c r="H951">
        <v>15</v>
      </c>
      <c r="I951">
        <v>10</v>
      </c>
      <c r="J951">
        <v>15</v>
      </c>
      <c r="K951" t="s">
        <v>1993</v>
      </c>
      <c r="L951">
        <v>1</v>
      </c>
      <c r="M951">
        <v>1</v>
      </c>
      <c r="N951" s="1">
        <f t="shared" si="28"/>
        <v>0</v>
      </c>
      <c r="O951" s="1">
        <f t="shared" si="29"/>
        <v>1</v>
      </c>
    </row>
    <row r="952" spans="1:15" x14ac:dyDescent="0.25">
      <c r="A952" t="s">
        <v>2385</v>
      </c>
      <c r="B952" t="s">
        <v>2386</v>
      </c>
      <c r="C952" t="s">
        <v>878</v>
      </c>
      <c r="D952">
        <v>1.98</v>
      </c>
      <c r="E952">
        <v>2.56</v>
      </c>
      <c r="F952">
        <v>4.04</v>
      </c>
      <c r="G952">
        <v>8</v>
      </c>
      <c r="H952">
        <v>65</v>
      </c>
      <c r="I952">
        <v>1</v>
      </c>
      <c r="J952">
        <v>7</v>
      </c>
      <c r="K952" t="s">
        <v>1993</v>
      </c>
      <c r="L952">
        <v>1</v>
      </c>
      <c r="M952">
        <v>1</v>
      </c>
      <c r="N952" s="1">
        <f t="shared" si="28"/>
        <v>0</v>
      </c>
      <c r="O952" s="1">
        <f t="shared" si="29"/>
        <v>1</v>
      </c>
    </row>
    <row r="953" spans="1:15" x14ac:dyDescent="0.25">
      <c r="A953" t="s">
        <v>2387</v>
      </c>
      <c r="B953" t="s">
        <v>2388</v>
      </c>
      <c r="C953" t="s">
        <v>878</v>
      </c>
      <c r="D953">
        <v>1.98</v>
      </c>
      <c r="E953">
        <v>2.56</v>
      </c>
      <c r="F953">
        <v>4.04</v>
      </c>
      <c r="G953">
        <v>8</v>
      </c>
      <c r="H953">
        <v>65</v>
      </c>
      <c r="I953">
        <v>1</v>
      </c>
      <c r="J953">
        <v>7</v>
      </c>
      <c r="K953" t="s">
        <v>1993</v>
      </c>
      <c r="L953">
        <v>1</v>
      </c>
      <c r="M953">
        <v>1</v>
      </c>
      <c r="N953" s="1">
        <f t="shared" si="28"/>
        <v>0</v>
      </c>
      <c r="O953" s="1">
        <f t="shared" si="29"/>
        <v>1</v>
      </c>
    </row>
    <row r="954" spans="1:15" x14ac:dyDescent="0.25">
      <c r="A954" t="s">
        <v>2389</v>
      </c>
      <c r="B954" t="s">
        <v>2390</v>
      </c>
      <c r="C954" t="s">
        <v>878</v>
      </c>
      <c r="D954">
        <v>1.98</v>
      </c>
      <c r="E954">
        <v>2.56</v>
      </c>
      <c r="F954">
        <v>4.04</v>
      </c>
      <c r="G954">
        <v>8</v>
      </c>
      <c r="H954">
        <v>65</v>
      </c>
      <c r="I954">
        <v>1</v>
      </c>
      <c r="J954">
        <v>7</v>
      </c>
      <c r="K954" t="s">
        <v>1993</v>
      </c>
      <c r="L954">
        <v>1</v>
      </c>
      <c r="M954">
        <v>1</v>
      </c>
      <c r="N954" s="1">
        <f t="shared" si="28"/>
        <v>0</v>
      </c>
      <c r="O954" s="1">
        <f t="shared" si="29"/>
        <v>1</v>
      </c>
    </row>
    <row r="955" spans="1:15" x14ac:dyDescent="0.25">
      <c r="A955" t="s">
        <v>2391</v>
      </c>
      <c r="B955" t="s">
        <v>2392</v>
      </c>
      <c r="C955" t="s">
        <v>878</v>
      </c>
      <c r="D955">
        <v>1.98</v>
      </c>
      <c r="E955">
        <v>2.56</v>
      </c>
      <c r="F955">
        <v>4.04</v>
      </c>
      <c r="G955">
        <v>8</v>
      </c>
      <c r="H955">
        <v>65</v>
      </c>
      <c r="I955">
        <v>1</v>
      </c>
      <c r="J955">
        <v>7</v>
      </c>
      <c r="K955" t="s">
        <v>1993</v>
      </c>
      <c r="L955">
        <v>1</v>
      </c>
      <c r="M955">
        <v>1</v>
      </c>
      <c r="N955" s="1">
        <f t="shared" si="28"/>
        <v>0</v>
      </c>
      <c r="O955" s="1">
        <f t="shared" si="29"/>
        <v>1</v>
      </c>
    </row>
    <row r="956" spans="1:15" x14ac:dyDescent="0.25">
      <c r="A956" t="s">
        <v>2393</v>
      </c>
      <c r="B956" t="s">
        <v>2394</v>
      </c>
      <c r="C956" t="s">
        <v>2395</v>
      </c>
      <c r="D956">
        <v>1.96</v>
      </c>
      <c r="E956">
        <v>3</v>
      </c>
      <c r="F956">
        <v>3.99</v>
      </c>
      <c r="G956">
        <v>22.07</v>
      </c>
      <c r="H956">
        <v>40.86</v>
      </c>
      <c r="I956">
        <v>3.01</v>
      </c>
      <c r="J956">
        <v>16.149999999999999</v>
      </c>
      <c r="K956" t="s">
        <v>1993</v>
      </c>
      <c r="L956">
        <v>1</v>
      </c>
      <c r="M956">
        <v>1</v>
      </c>
      <c r="N956" s="1">
        <f t="shared" si="28"/>
        <v>0</v>
      </c>
      <c r="O956" s="1">
        <f t="shared" si="29"/>
        <v>1</v>
      </c>
    </row>
    <row r="957" spans="1:15" x14ac:dyDescent="0.25">
      <c r="A957" t="s">
        <v>2396</v>
      </c>
      <c r="B957" t="s">
        <v>2397</v>
      </c>
      <c r="C957" t="s">
        <v>2398</v>
      </c>
      <c r="D957">
        <v>1.91</v>
      </c>
      <c r="E957">
        <v>2.02</v>
      </c>
      <c r="F957">
        <v>3.89</v>
      </c>
      <c r="G957">
        <v>0.56000000000000005</v>
      </c>
      <c r="H957">
        <v>89.31</v>
      </c>
      <c r="I957">
        <v>6.98</v>
      </c>
      <c r="J957">
        <v>0.56000000000000005</v>
      </c>
      <c r="K957" t="s">
        <v>1993</v>
      </c>
      <c r="L957">
        <v>1</v>
      </c>
      <c r="M957">
        <v>1</v>
      </c>
      <c r="N957" s="1">
        <f t="shared" si="28"/>
        <v>0</v>
      </c>
      <c r="O957" s="1">
        <f t="shared" si="29"/>
        <v>1</v>
      </c>
    </row>
    <row r="958" spans="1:15" x14ac:dyDescent="0.25">
      <c r="A958" t="s">
        <v>2399</v>
      </c>
      <c r="B958" t="s">
        <v>2400</v>
      </c>
      <c r="C958" t="s">
        <v>2401</v>
      </c>
      <c r="D958">
        <v>1.82</v>
      </c>
      <c r="E958">
        <v>2.46</v>
      </c>
      <c r="F958">
        <v>3.7</v>
      </c>
      <c r="G958">
        <v>7.96</v>
      </c>
      <c r="H958">
        <v>81.16</v>
      </c>
      <c r="I958">
        <v>1</v>
      </c>
      <c r="J958">
        <v>0</v>
      </c>
      <c r="K958" t="s">
        <v>1993</v>
      </c>
      <c r="L958">
        <v>1</v>
      </c>
      <c r="M958">
        <v>1</v>
      </c>
      <c r="N958" s="1">
        <f t="shared" si="28"/>
        <v>0</v>
      </c>
      <c r="O958" s="1">
        <f t="shared" si="29"/>
        <v>1</v>
      </c>
    </row>
    <row r="959" spans="1:15" x14ac:dyDescent="0.25">
      <c r="A959" t="s">
        <v>2402</v>
      </c>
      <c r="B959" t="s">
        <v>2403</v>
      </c>
      <c r="C959" t="s">
        <v>2404</v>
      </c>
      <c r="D959">
        <v>1.82</v>
      </c>
      <c r="E959">
        <v>4.2699999999999996</v>
      </c>
      <c r="F959">
        <v>3.7</v>
      </c>
      <c r="G959">
        <v>7.96</v>
      </c>
      <c r="H959">
        <v>81.16</v>
      </c>
      <c r="I959">
        <v>1</v>
      </c>
      <c r="J959">
        <v>0</v>
      </c>
      <c r="K959" t="s">
        <v>1993</v>
      </c>
      <c r="L959">
        <v>1</v>
      </c>
      <c r="M959">
        <v>1</v>
      </c>
      <c r="N959" s="1">
        <f t="shared" si="28"/>
        <v>0</v>
      </c>
      <c r="O959" s="1">
        <f t="shared" si="29"/>
        <v>1</v>
      </c>
    </row>
    <row r="960" spans="1:15" x14ac:dyDescent="0.25">
      <c r="A960" t="s">
        <v>2405</v>
      </c>
      <c r="B960" t="s">
        <v>2406</v>
      </c>
      <c r="C960" t="s">
        <v>2407</v>
      </c>
      <c r="D960">
        <v>1.79</v>
      </c>
      <c r="E960">
        <v>1.7</v>
      </c>
      <c r="F960">
        <v>3.64</v>
      </c>
      <c r="G960">
        <v>12</v>
      </c>
      <c r="H960">
        <v>84</v>
      </c>
      <c r="I960">
        <v>1</v>
      </c>
      <c r="J960">
        <v>17.5</v>
      </c>
      <c r="K960" t="s">
        <v>1993</v>
      </c>
      <c r="L960">
        <v>1</v>
      </c>
      <c r="M960">
        <v>1</v>
      </c>
      <c r="N960" s="1">
        <f t="shared" si="28"/>
        <v>0</v>
      </c>
      <c r="O960" s="1">
        <f t="shared" si="29"/>
        <v>1</v>
      </c>
    </row>
    <row r="961" spans="1:15" x14ac:dyDescent="0.25">
      <c r="A961" t="s">
        <v>2408</v>
      </c>
      <c r="B961" t="s">
        <v>2409</v>
      </c>
      <c r="C961" t="s">
        <v>878</v>
      </c>
      <c r="D961">
        <v>1.78</v>
      </c>
      <c r="E961">
        <v>2.56</v>
      </c>
      <c r="F961">
        <v>3.62</v>
      </c>
      <c r="G961">
        <v>8</v>
      </c>
      <c r="H961">
        <v>65</v>
      </c>
      <c r="I961">
        <v>1</v>
      </c>
      <c r="J961">
        <v>7</v>
      </c>
      <c r="K961" t="s">
        <v>1993</v>
      </c>
      <c r="L961">
        <v>1</v>
      </c>
      <c r="M961">
        <v>1</v>
      </c>
      <c r="N961" s="1">
        <f t="shared" si="28"/>
        <v>0</v>
      </c>
      <c r="O961" s="1">
        <f t="shared" si="29"/>
        <v>1</v>
      </c>
    </row>
    <row r="962" spans="1:15" x14ac:dyDescent="0.25">
      <c r="A962" t="s">
        <v>2410</v>
      </c>
      <c r="B962" t="s">
        <v>2411</v>
      </c>
      <c r="C962" t="s">
        <v>878</v>
      </c>
      <c r="D962">
        <v>1.78</v>
      </c>
      <c r="E962">
        <v>2.56</v>
      </c>
      <c r="F962">
        <v>3.62</v>
      </c>
      <c r="G962">
        <v>8</v>
      </c>
      <c r="H962">
        <v>65</v>
      </c>
      <c r="I962">
        <v>1</v>
      </c>
      <c r="J962">
        <v>7</v>
      </c>
      <c r="K962" t="s">
        <v>1993</v>
      </c>
      <c r="L962">
        <v>1</v>
      </c>
      <c r="M962">
        <v>1</v>
      </c>
      <c r="N962" s="1">
        <f t="shared" ref="N962:N1025" si="30">1-O962</f>
        <v>0</v>
      </c>
      <c r="O962" s="1">
        <f t="shared" ref="O962:O1025" si="31">M962/L962</f>
        <v>1</v>
      </c>
    </row>
    <row r="963" spans="1:15" x14ac:dyDescent="0.25">
      <c r="A963" t="s">
        <v>2412</v>
      </c>
      <c r="B963" t="s">
        <v>2413</v>
      </c>
      <c r="C963" t="s">
        <v>878</v>
      </c>
      <c r="D963">
        <v>1.78</v>
      </c>
      <c r="E963">
        <v>2.56</v>
      </c>
      <c r="F963">
        <v>3.62</v>
      </c>
      <c r="G963">
        <v>8</v>
      </c>
      <c r="H963">
        <v>65</v>
      </c>
      <c r="I963">
        <v>1</v>
      </c>
      <c r="J963">
        <v>7</v>
      </c>
      <c r="K963" t="s">
        <v>1993</v>
      </c>
      <c r="L963">
        <v>1</v>
      </c>
      <c r="M963">
        <v>1</v>
      </c>
      <c r="N963" s="1">
        <f t="shared" si="30"/>
        <v>0</v>
      </c>
      <c r="O963" s="1">
        <f t="shared" si="31"/>
        <v>1</v>
      </c>
    </row>
    <row r="964" spans="1:15" x14ac:dyDescent="0.25">
      <c r="A964" t="s">
        <v>2414</v>
      </c>
      <c r="B964" t="s">
        <v>2415</v>
      </c>
      <c r="C964" t="s">
        <v>878</v>
      </c>
      <c r="D964">
        <v>1.78</v>
      </c>
      <c r="E964">
        <v>2.56</v>
      </c>
      <c r="F964">
        <v>3.62</v>
      </c>
      <c r="G964">
        <v>8</v>
      </c>
      <c r="H964">
        <v>65</v>
      </c>
      <c r="I964">
        <v>1</v>
      </c>
      <c r="J964">
        <v>7</v>
      </c>
      <c r="K964" t="s">
        <v>1993</v>
      </c>
      <c r="L964">
        <v>1</v>
      </c>
      <c r="M964">
        <v>1</v>
      </c>
      <c r="N964" s="1">
        <f t="shared" si="30"/>
        <v>0</v>
      </c>
      <c r="O964" s="1">
        <f t="shared" si="31"/>
        <v>1</v>
      </c>
    </row>
    <row r="965" spans="1:15" x14ac:dyDescent="0.25">
      <c r="A965" t="s">
        <v>2416</v>
      </c>
      <c r="B965" t="s">
        <v>2417</v>
      </c>
      <c r="C965" t="s">
        <v>878</v>
      </c>
      <c r="D965">
        <v>1.78</v>
      </c>
      <c r="E965">
        <v>2.56</v>
      </c>
      <c r="F965">
        <v>3.62</v>
      </c>
      <c r="G965">
        <v>8</v>
      </c>
      <c r="H965">
        <v>65</v>
      </c>
      <c r="I965">
        <v>1</v>
      </c>
      <c r="J965">
        <v>7</v>
      </c>
      <c r="K965" t="s">
        <v>1993</v>
      </c>
      <c r="L965">
        <v>1</v>
      </c>
      <c r="M965">
        <v>1</v>
      </c>
      <c r="N965" s="1">
        <f t="shared" si="30"/>
        <v>0</v>
      </c>
      <c r="O965" s="1">
        <f t="shared" si="31"/>
        <v>1</v>
      </c>
    </row>
    <row r="966" spans="1:15" x14ac:dyDescent="0.25">
      <c r="A966" t="s">
        <v>2418</v>
      </c>
      <c r="B966" t="s">
        <v>2419</v>
      </c>
      <c r="C966" t="s">
        <v>878</v>
      </c>
      <c r="D966">
        <v>1.78</v>
      </c>
      <c r="E966">
        <v>2.56</v>
      </c>
      <c r="F966">
        <v>3.62</v>
      </c>
      <c r="G966">
        <v>8</v>
      </c>
      <c r="H966">
        <v>65</v>
      </c>
      <c r="I966">
        <v>1</v>
      </c>
      <c r="J966">
        <v>7</v>
      </c>
      <c r="K966" t="s">
        <v>1993</v>
      </c>
      <c r="L966">
        <v>1</v>
      </c>
      <c r="M966">
        <v>1</v>
      </c>
      <c r="N966" s="1">
        <f t="shared" si="30"/>
        <v>0</v>
      </c>
      <c r="O966" s="1">
        <f t="shared" si="31"/>
        <v>1</v>
      </c>
    </row>
    <row r="967" spans="1:15" x14ac:dyDescent="0.25">
      <c r="A967" t="s">
        <v>2420</v>
      </c>
      <c r="B967" t="s">
        <v>2421</v>
      </c>
      <c r="C967" t="s">
        <v>878</v>
      </c>
      <c r="D967">
        <v>1.78</v>
      </c>
      <c r="E967">
        <v>2.56</v>
      </c>
      <c r="F967">
        <v>3.62</v>
      </c>
      <c r="G967">
        <v>8</v>
      </c>
      <c r="H967">
        <v>65</v>
      </c>
      <c r="I967">
        <v>1</v>
      </c>
      <c r="J967">
        <v>7</v>
      </c>
      <c r="K967" t="s">
        <v>1993</v>
      </c>
      <c r="L967">
        <v>1</v>
      </c>
      <c r="M967">
        <v>1</v>
      </c>
      <c r="N967" s="1">
        <f t="shared" si="30"/>
        <v>0</v>
      </c>
      <c r="O967" s="1">
        <f t="shared" si="31"/>
        <v>1</v>
      </c>
    </row>
    <row r="968" spans="1:15" x14ac:dyDescent="0.25">
      <c r="A968" t="s">
        <v>2422</v>
      </c>
      <c r="B968" t="s">
        <v>2423</v>
      </c>
      <c r="C968" t="s">
        <v>878</v>
      </c>
      <c r="D968">
        <v>1.78</v>
      </c>
      <c r="E968">
        <v>2.56</v>
      </c>
      <c r="F968">
        <v>3.62</v>
      </c>
      <c r="G968">
        <v>8</v>
      </c>
      <c r="H968">
        <v>65</v>
      </c>
      <c r="I968">
        <v>1</v>
      </c>
      <c r="J968">
        <v>7</v>
      </c>
      <c r="K968" t="s">
        <v>1993</v>
      </c>
      <c r="L968">
        <v>1</v>
      </c>
      <c r="M968">
        <v>1</v>
      </c>
      <c r="N968" s="1">
        <f t="shared" si="30"/>
        <v>0</v>
      </c>
      <c r="O968" s="1">
        <f t="shared" si="31"/>
        <v>1</v>
      </c>
    </row>
    <row r="969" spans="1:15" x14ac:dyDescent="0.25">
      <c r="A969" t="s">
        <v>2424</v>
      </c>
      <c r="B969" t="s">
        <v>2425</v>
      </c>
      <c r="C969" t="s">
        <v>878</v>
      </c>
      <c r="D969">
        <v>1.78</v>
      </c>
      <c r="E969">
        <v>2.56</v>
      </c>
      <c r="F969">
        <v>3.62</v>
      </c>
      <c r="G969">
        <v>8</v>
      </c>
      <c r="H969">
        <v>65</v>
      </c>
      <c r="I969">
        <v>1</v>
      </c>
      <c r="J969">
        <v>7</v>
      </c>
      <c r="K969" t="s">
        <v>1993</v>
      </c>
      <c r="L969">
        <v>1</v>
      </c>
      <c r="M969">
        <v>1</v>
      </c>
      <c r="N969" s="1">
        <f t="shared" si="30"/>
        <v>0</v>
      </c>
      <c r="O969" s="1">
        <f t="shared" si="31"/>
        <v>1</v>
      </c>
    </row>
    <row r="970" spans="1:15" x14ac:dyDescent="0.25">
      <c r="A970" t="s">
        <v>2426</v>
      </c>
      <c r="B970" t="s">
        <v>2427</v>
      </c>
      <c r="C970" t="s">
        <v>878</v>
      </c>
      <c r="D970">
        <v>1.78</v>
      </c>
      <c r="E970">
        <v>2.56</v>
      </c>
      <c r="F970">
        <v>3.62</v>
      </c>
      <c r="G970">
        <v>8</v>
      </c>
      <c r="H970">
        <v>65</v>
      </c>
      <c r="I970">
        <v>1</v>
      </c>
      <c r="J970">
        <v>7</v>
      </c>
      <c r="K970" t="s">
        <v>1993</v>
      </c>
      <c r="L970">
        <v>1</v>
      </c>
      <c r="M970">
        <v>1</v>
      </c>
      <c r="N970" s="1">
        <f t="shared" si="30"/>
        <v>0</v>
      </c>
      <c r="O970" s="1">
        <f t="shared" si="31"/>
        <v>1</v>
      </c>
    </row>
    <row r="971" spans="1:15" x14ac:dyDescent="0.25">
      <c r="A971" t="s">
        <v>2428</v>
      </c>
      <c r="B971" t="s">
        <v>2429</v>
      </c>
      <c r="C971" t="s">
        <v>2430</v>
      </c>
      <c r="D971">
        <v>1.77</v>
      </c>
      <c r="E971">
        <v>0</v>
      </c>
      <c r="F971">
        <v>3.59</v>
      </c>
      <c r="G971">
        <v>26</v>
      </c>
      <c r="H971">
        <v>60</v>
      </c>
      <c r="I971">
        <v>5</v>
      </c>
      <c r="J971">
        <v>11</v>
      </c>
      <c r="K971" t="s">
        <v>1993</v>
      </c>
      <c r="L971">
        <v>1</v>
      </c>
      <c r="M971">
        <v>1</v>
      </c>
      <c r="N971" s="1">
        <f t="shared" si="30"/>
        <v>0</v>
      </c>
      <c r="O971" s="1">
        <f t="shared" si="31"/>
        <v>1</v>
      </c>
    </row>
    <row r="972" spans="1:15" x14ac:dyDescent="0.25">
      <c r="A972" t="s">
        <v>2431</v>
      </c>
      <c r="B972" t="s">
        <v>2432</v>
      </c>
      <c r="C972" t="s">
        <v>2433</v>
      </c>
      <c r="D972">
        <v>1.72</v>
      </c>
      <c r="E972">
        <v>0.8</v>
      </c>
      <c r="F972">
        <v>3.49</v>
      </c>
      <c r="G972">
        <v>12.43</v>
      </c>
      <c r="H972">
        <v>72.930000000000007</v>
      </c>
      <c r="I972">
        <v>1.04</v>
      </c>
      <c r="J972">
        <v>13.25</v>
      </c>
      <c r="K972" t="s">
        <v>1993</v>
      </c>
      <c r="L972">
        <v>1</v>
      </c>
      <c r="M972">
        <v>1</v>
      </c>
      <c r="N972" s="1">
        <f t="shared" si="30"/>
        <v>0</v>
      </c>
      <c r="O972" s="1">
        <f t="shared" si="31"/>
        <v>1</v>
      </c>
    </row>
    <row r="973" spans="1:15" x14ac:dyDescent="0.25">
      <c r="A973" t="s">
        <v>2434</v>
      </c>
      <c r="B973" t="s">
        <v>2435</v>
      </c>
      <c r="C973" t="s">
        <v>2436</v>
      </c>
      <c r="D973">
        <v>1.65</v>
      </c>
      <c r="E973">
        <v>7.18</v>
      </c>
      <c r="F973">
        <v>3.36</v>
      </c>
      <c r="G973">
        <v>40.5</v>
      </c>
      <c r="H973">
        <v>50</v>
      </c>
      <c r="I973">
        <v>5</v>
      </c>
      <c r="J973">
        <v>0</v>
      </c>
      <c r="K973" t="s">
        <v>1993</v>
      </c>
      <c r="L973">
        <v>1</v>
      </c>
      <c r="M973">
        <v>1</v>
      </c>
      <c r="N973" s="1">
        <f t="shared" si="30"/>
        <v>0</v>
      </c>
      <c r="O973" s="1">
        <f t="shared" si="31"/>
        <v>1</v>
      </c>
    </row>
    <row r="974" spans="1:15" x14ac:dyDescent="0.25">
      <c r="A974" t="s">
        <v>2437</v>
      </c>
      <c r="B974" t="s">
        <v>2438</v>
      </c>
      <c r="C974" t="s">
        <v>2439</v>
      </c>
      <c r="D974">
        <v>1.64</v>
      </c>
      <c r="E974">
        <v>1.35</v>
      </c>
      <c r="F974">
        <v>3.34</v>
      </c>
      <c r="G974">
        <v>5.23</v>
      </c>
      <c r="H974">
        <v>86.08</v>
      </c>
      <c r="I974">
        <v>1</v>
      </c>
      <c r="J974">
        <v>8.52</v>
      </c>
      <c r="K974" t="s">
        <v>1993</v>
      </c>
      <c r="L974">
        <v>1</v>
      </c>
      <c r="M974">
        <v>1</v>
      </c>
      <c r="N974" s="1">
        <f t="shared" si="30"/>
        <v>0</v>
      </c>
      <c r="O974" s="1">
        <f t="shared" si="31"/>
        <v>1</v>
      </c>
    </row>
    <row r="975" spans="1:15" x14ac:dyDescent="0.25">
      <c r="A975" t="s">
        <v>2440</v>
      </c>
      <c r="B975" t="s">
        <v>2441</v>
      </c>
      <c r="C975" t="s">
        <v>24</v>
      </c>
      <c r="D975">
        <v>1.64</v>
      </c>
      <c r="E975">
        <v>8.4700000000000006</v>
      </c>
      <c r="F975">
        <v>3.33</v>
      </c>
      <c r="G975">
        <v>98</v>
      </c>
      <c r="H975">
        <v>0</v>
      </c>
      <c r="I975">
        <v>2</v>
      </c>
      <c r="J975">
        <v>15</v>
      </c>
      <c r="K975" t="s">
        <v>1993</v>
      </c>
      <c r="L975">
        <v>1</v>
      </c>
      <c r="M975">
        <v>1</v>
      </c>
      <c r="N975" s="1">
        <f t="shared" si="30"/>
        <v>0</v>
      </c>
      <c r="O975" s="1">
        <f t="shared" si="31"/>
        <v>1</v>
      </c>
    </row>
    <row r="976" spans="1:15" x14ac:dyDescent="0.25">
      <c r="A976" t="s">
        <v>2442</v>
      </c>
      <c r="B976" t="s">
        <v>716</v>
      </c>
      <c r="C976" t="s">
        <v>2443</v>
      </c>
      <c r="D976">
        <v>1.63</v>
      </c>
      <c r="E976">
        <v>1.1200000000000001</v>
      </c>
      <c r="F976">
        <v>3.32</v>
      </c>
      <c r="G976">
        <v>3.75</v>
      </c>
      <c r="H976">
        <v>91.5</v>
      </c>
      <c r="I976">
        <v>1</v>
      </c>
      <c r="J976">
        <v>10.5</v>
      </c>
      <c r="K976" t="s">
        <v>1993</v>
      </c>
      <c r="L976">
        <v>1</v>
      </c>
      <c r="M976">
        <v>1</v>
      </c>
      <c r="N976" s="1">
        <f t="shared" si="30"/>
        <v>0</v>
      </c>
      <c r="O976" s="1">
        <f t="shared" si="31"/>
        <v>1</v>
      </c>
    </row>
    <row r="977" spans="1:15" x14ac:dyDescent="0.25">
      <c r="A977" t="s">
        <v>2444</v>
      </c>
      <c r="B977" t="s">
        <v>2445</v>
      </c>
      <c r="C977" t="s">
        <v>2446</v>
      </c>
      <c r="D977">
        <v>1.62</v>
      </c>
      <c r="E977">
        <v>4.1100000000000003</v>
      </c>
      <c r="F977">
        <v>3.29</v>
      </c>
      <c r="G977">
        <v>25.2</v>
      </c>
      <c r="H977">
        <v>64</v>
      </c>
      <c r="I977">
        <v>3</v>
      </c>
      <c r="J977">
        <v>30.2</v>
      </c>
      <c r="K977" t="s">
        <v>1993</v>
      </c>
      <c r="L977">
        <v>1</v>
      </c>
      <c r="M977">
        <v>1</v>
      </c>
      <c r="N977" s="1">
        <f t="shared" si="30"/>
        <v>0</v>
      </c>
      <c r="O977" s="1">
        <f t="shared" si="31"/>
        <v>1</v>
      </c>
    </row>
    <row r="978" spans="1:15" x14ac:dyDescent="0.25">
      <c r="A978" t="s">
        <v>2447</v>
      </c>
      <c r="B978" t="s">
        <v>2448</v>
      </c>
      <c r="C978" t="s">
        <v>2449</v>
      </c>
      <c r="D978">
        <v>1.62</v>
      </c>
      <c r="E978">
        <v>1.04</v>
      </c>
      <c r="F978">
        <v>3.3</v>
      </c>
      <c r="G978">
        <v>0</v>
      </c>
      <c r="H978">
        <v>80</v>
      </c>
      <c r="I978">
        <v>20</v>
      </c>
      <c r="J978">
        <v>0</v>
      </c>
      <c r="K978" t="s">
        <v>1993</v>
      </c>
      <c r="L978">
        <v>1</v>
      </c>
      <c r="M978">
        <v>1</v>
      </c>
      <c r="N978" s="1">
        <f t="shared" si="30"/>
        <v>0</v>
      </c>
      <c r="O978" s="1">
        <f t="shared" si="31"/>
        <v>1</v>
      </c>
    </row>
    <row r="979" spans="1:15" x14ac:dyDescent="0.25">
      <c r="A979" t="s">
        <v>2450</v>
      </c>
      <c r="B979" t="s">
        <v>2451</v>
      </c>
      <c r="C979" t="s">
        <v>2452</v>
      </c>
      <c r="D979">
        <v>1.6</v>
      </c>
      <c r="E979">
        <v>3.53</v>
      </c>
      <c r="F979">
        <v>3.25</v>
      </c>
      <c r="G979">
        <v>24.74</v>
      </c>
      <c r="H979">
        <v>57.24</v>
      </c>
      <c r="I979">
        <v>11.36</v>
      </c>
      <c r="J979">
        <v>25.01</v>
      </c>
      <c r="K979" t="s">
        <v>1993</v>
      </c>
      <c r="L979">
        <v>1</v>
      </c>
      <c r="M979">
        <v>1</v>
      </c>
      <c r="N979" s="1">
        <f t="shared" si="30"/>
        <v>0</v>
      </c>
      <c r="O979" s="1">
        <f t="shared" si="31"/>
        <v>1</v>
      </c>
    </row>
    <row r="980" spans="1:15" x14ac:dyDescent="0.25">
      <c r="A980" t="s">
        <v>2453</v>
      </c>
      <c r="B980" t="s">
        <v>2454</v>
      </c>
      <c r="D980">
        <v>1.59</v>
      </c>
      <c r="F980">
        <v>3.23</v>
      </c>
      <c r="G980">
        <v>24.07</v>
      </c>
      <c r="H980">
        <v>58.45</v>
      </c>
      <c r="I980">
        <v>11.48</v>
      </c>
      <c r="J980">
        <v>26.48</v>
      </c>
      <c r="K980" t="s">
        <v>1993</v>
      </c>
      <c r="L980">
        <v>1</v>
      </c>
      <c r="M980">
        <v>1</v>
      </c>
      <c r="N980" s="1">
        <f t="shared" si="30"/>
        <v>0</v>
      </c>
      <c r="O980" s="1">
        <f t="shared" si="31"/>
        <v>1</v>
      </c>
    </row>
    <row r="981" spans="1:15" x14ac:dyDescent="0.25">
      <c r="A981" t="s">
        <v>2455</v>
      </c>
      <c r="B981" t="s">
        <v>2456</v>
      </c>
      <c r="C981" t="s">
        <v>1274</v>
      </c>
      <c r="D981">
        <v>1.58</v>
      </c>
      <c r="E981">
        <v>1.62</v>
      </c>
      <c r="F981">
        <v>3.2</v>
      </c>
      <c r="G981">
        <v>0</v>
      </c>
      <c r="H981">
        <v>87.56</v>
      </c>
      <c r="I981">
        <v>2.2000000000000002</v>
      </c>
      <c r="J981">
        <v>20.12</v>
      </c>
      <c r="K981" t="s">
        <v>1993</v>
      </c>
      <c r="L981">
        <v>1</v>
      </c>
      <c r="M981">
        <v>1</v>
      </c>
      <c r="N981" s="1">
        <f t="shared" si="30"/>
        <v>0</v>
      </c>
      <c r="O981" s="1">
        <f t="shared" si="31"/>
        <v>1</v>
      </c>
    </row>
    <row r="982" spans="1:15" x14ac:dyDescent="0.25">
      <c r="A982" t="s">
        <v>2457</v>
      </c>
      <c r="B982" t="s">
        <v>2458</v>
      </c>
      <c r="C982" t="s">
        <v>1274</v>
      </c>
      <c r="D982">
        <v>1.58</v>
      </c>
      <c r="E982">
        <v>1.62</v>
      </c>
      <c r="F982">
        <v>3.2</v>
      </c>
      <c r="G982">
        <v>0</v>
      </c>
      <c r="H982">
        <v>87.56</v>
      </c>
      <c r="I982">
        <v>2.21</v>
      </c>
      <c r="J982">
        <v>20.12</v>
      </c>
      <c r="K982" t="s">
        <v>1993</v>
      </c>
      <c r="L982">
        <v>1</v>
      </c>
      <c r="M982">
        <v>1</v>
      </c>
      <c r="N982" s="1">
        <f t="shared" si="30"/>
        <v>0</v>
      </c>
      <c r="O982" s="1">
        <f t="shared" si="31"/>
        <v>1</v>
      </c>
    </row>
    <row r="983" spans="1:15" x14ac:dyDescent="0.25">
      <c r="A983" t="s">
        <v>2459</v>
      </c>
      <c r="B983" t="s">
        <v>2460</v>
      </c>
      <c r="C983" t="s">
        <v>1274</v>
      </c>
      <c r="D983">
        <v>1.57</v>
      </c>
      <c r="E983">
        <v>1.62</v>
      </c>
      <c r="F983">
        <v>3.2</v>
      </c>
      <c r="G983">
        <v>0</v>
      </c>
      <c r="H983">
        <v>87.54</v>
      </c>
      <c r="I983">
        <v>2.0499999999999998</v>
      </c>
      <c r="J983">
        <v>20.12</v>
      </c>
      <c r="K983" t="s">
        <v>1993</v>
      </c>
      <c r="L983">
        <v>1</v>
      </c>
      <c r="M983">
        <v>1</v>
      </c>
      <c r="N983" s="1">
        <f t="shared" si="30"/>
        <v>0</v>
      </c>
      <c r="O983" s="1">
        <f t="shared" si="31"/>
        <v>1</v>
      </c>
    </row>
    <row r="984" spans="1:15" x14ac:dyDescent="0.25">
      <c r="A984" t="s">
        <v>2461</v>
      </c>
      <c r="B984" t="s">
        <v>2462</v>
      </c>
      <c r="C984" t="s">
        <v>1274</v>
      </c>
      <c r="D984">
        <v>1.57</v>
      </c>
      <c r="E984">
        <v>1.62</v>
      </c>
      <c r="F984">
        <v>3.19</v>
      </c>
      <c r="G984">
        <v>0</v>
      </c>
      <c r="H984">
        <v>87.63</v>
      </c>
      <c r="I984">
        <v>2.2000000000000002</v>
      </c>
      <c r="J984">
        <v>20.09</v>
      </c>
      <c r="K984" t="s">
        <v>1993</v>
      </c>
      <c r="L984">
        <v>1</v>
      </c>
      <c r="M984">
        <v>1</v>
      </c>
      <c r="N984" s="1">
        <f t="shared" si="30"/>
        <v>0</v>
      </c>
      <c r="O984" s="1">
        <f t="shared" si="31"/>
        <v>1</v>
      </c>
    </row>
    <row r="985" spans="1:15" x14ac:dyDescent="0.25">
      <c r="A985" t="s">
        <v>2463</v>
      </c>
      <c r="B985" t="s">
        <v>2464</v>
      </c>
      <c r="C985" t="s">
        <v>1274</v>
      </c>
      <c r="D985">
        <v>1.56</v>
      </c>
      <c r="E985">
        <v>1.62</v>
      </c>
      <c r="F985">
        <v>3.18</v>
      </c>
      <c r="G985">
        <v>0</v>
      </c>
      <c r="H985">
        <v>87.59</v>
      </c>
      <c r="I985">
        <v>2.23</v>
      </c>
      <c r="J985">
        <v>20.13</v>
      </c>
      <c r="K985" t="s">
        <v>1993</v>
      </c>
      <c r="L985">
        <v>1</v>
      </c>
      <c r="M985">
        <v>1</v>
      </c>
      <c r="N985" s="1">
        <f t="shared" si="30"/>
        <v>0</v>
      </c>
      <c r="O985" s="1">
        <f t="shared" si="31"/>
        <v>1</v>
      </c>
    </row>
    <row r="986" spans="1:15" x14ac:dyDescent="0.25">
      <c r="A986" t="s">
        <v>2465</v>
      </c>
      <c r="B986" t="s">
        <v>2466</v>
      </c>
      <c r="C986" t="s">
        <v>1274</v>
      </c>
      <c r="D986">
        <v>1.56</v>
      </c>
      <c r="E986">
        <v>1.62</v>
      </c>
      <c r="F986">
        <v>3.17</v>
      </c>
      <c r="G986">
        <v>0</v>
      </c>
      <c r="H986">
        <v>87.6</v>
      </c>
      <c r="I986">
        <v>2.2200000000000002</v>
      </c>
      <c r="J986">
        <v>20.13</v>
      </c>
      <c r="K986" t="s">
        <v>1993</v>
      </c>
      <c r="L986">
        <v>1</v>
      </c>
      <c r="M986">
        <v>1</v>
      </c>
      <c r="N986" s="1">
        <f t="shared" si="30"/>
        <v>0</v>
      </c>
      <c r="O986" s="1">
        <f t="shared" si="31"/>
        <v>1</v>
      </c>
    </row>
    <row r="987" spans="1:15" x14ac:dyDescent="0.25">
      <c r="A987" t="s">
        <v>2467</v>
      </c>
      <c r="B987" t="s">
        <v>2468</v>
      </c>
      <c r="C987" t="s">
        <v>2469</v>
      </c>
      <c r="D987">
        <v>1.55</v>
      </c>
      <c r="E987">
        <v>5.61</v>
      </c>
      <c r="F987">
        <v>3.14</v>
      </c>
      <c r="G987">
        <v>54.48</v>
      </c>
      <c r="H987">
        <v>34.270000000000003</v>
      </c>
      <c r="I987">
        <v>0.85</v>
      </c>
      <c r="J987">
        <v>48.98</v>
      </c>
      <c r="K987" t="s">
        <v>1993</v>
      </c>
      <c r="L987">
        <v>1</v>
      </c>
      <c r="M987">
        <v>1</v>
      </c>
      <c r="N987" s="1">
        <f t="shared" si="30"/>
        <v>0</v>
      </c>
      <c r="O987" s="1">
        <f t="shared" si="31"/>
        <v>1</v>
      </c>
    </row>
    <row r="988" spans="1:15" x14ac:dyDescent="0.25">
      <c r="A988" t="s">
        <v>2470</v>
      </c>
      <c r="B988" t="s">
        <v>1132</v>
      </c>
      <c r="C988" t="s">
        <v>2471</v>
      </c>
      <c r="D988">
        <v>1.54</v>
      </c>
      <c r="E988">
        <v>1.31</v>
      </c>
      <c r="F988">
        <v>3.13</v>
      </c>
      <c r="G988">
        <v>6.5</v>
      </c>
      <c r="H988">
        <v>86</v>
      </c>
      <c r="I988">
        <v>4</v>
      </c>
      <c r="J988">
        <v>10</v>
      </c>
      <c r="K988" t="s">
        <v>1993</v>
      </c>
      <c r="L988">
        <v>1</v>
      </c>
      <c r="M988">
        <v>1</v>
      </c>
      <c r="N988" s="1">
        <f t="shared" si="30"/>
        <v>0</v>
      </c>
      <c r="O988" s="1">
        <f t="shared" si="31"/>
        <v>1</v>
      </c>
    </row>
    <row r="989" spans="1:15" x14ac:dyDescent="0.25">
      <c r="A989" t="s">
        <v>2472</v>
      </c>
      <c r="B989" t="s">
        <v>2473</v>
      </c>
      <c r="D989">
        <v>1.53</v>
      </c>
      <c r="F989">
        <v>5.0599999999999996</v>
      </c>
      <c r="G989">
        <v>16.78</v>
      </c>
      <c r="H989">
        <v>76.62</v>
      </c>
      <c r="I989">
        <v>1</v>
      </c>
      <c r="J989">
        <v>40.18</v>
      </c>
      <c r="K989" t="s">
        <v>1993</v>
      </c>
      <c r="L989">
        <v>1</v>
      </c>
      <c r="M989">
        <v>1</v>
      </c>
      <c r="N989" s="1">
        <f t="shared" si="30"/>
        <v>0</v>
      </c>
      <c r="O989" s="1">
        <f t="shared" si="31"/>
        <v>1</v>
      </c>
    </row>
    <row r="990" spans="1:15" x14ac:dyDescent="0.25">
      <c r="A990" t="s">
        <v>2474</v>
      </c>
      <c r="B990" t="s">
        <v>2475</v>
      </c>
      <c r="C990" t="s">
        <v>717</v>
      </c>
      <c r="D990">
        <v>1.52</v>
      </c>
      <c r="E990">
        <v>1.26</v>
      </c>
      <c r="F990">
        <v>3.1</v>
      </c>
      <c r="G990">
        <v>4.03</v>
      </c>
      <c r="H990">
        <v>89.77</v>
      </c>
      <c r="I990">
        <v>3.69</v>
      </c>
      <c r="J990">
        <v>11</v>
      </c>
      <c r="K990" t="s">
        <v>1993</v>
      </c>
      <c r="L990">
        <v>1</v>
      </c>
      <c r="M990">
        <v>1</v>
      </c>
      <c r="N990" s="1">
        <f t="shared" si="30"/>
        <v>0</v>
      </c>
      <c r="O990" s="1">
        <f t="shared" si="31"/>
        <v>1</v>
      </c>
    </row>
    <row r="991" spans="1:15" x14ac:dyDescent="0.25">
      <c r="A991" t="s">
        <v>2476</v>
      </c>
      <c r="B991" t="s">
        <v>2477</v>
      </c>
      <c r="C991" t="s">
        <v>2478</v>
      </c>
      <c r="D991">
        <v>1.52</v>
      </c>
      <c r="E991">
        <v>3.33</v>
      </c>
      <c r="F991">
        <v>3.08</v>
      </c>
      <c r="G991">
        <v>27.96</v>
      </c>
      <c r="H991">
        <v>61.03</v>
      </c>
      <c r="I991">
        <v>6.16</v>
      </c>
      <c r="J991">
        <v>26.72</v>
      </c>
      <c r="K991" t="s">
        <v>1993</v>
      </c>
      <c r="L991">
        <v>1</v>
      </c>
      <c r="M991">
        <v>1</v>
      </c>
      <c r="N991" s="1">
        <f t="shared" si="30"/>
        <v>0</v>
      </c>
      <c r="O991" s="1">
        <f t="shared" si="31"/>
        <v>1</v>
      </c>
    </row>
    <row r="992" spans="1:15" x14ac:dyDescent="0.25">
      <c r="A992" t="s">
        <v>2479</v>
      </c>
      <c r="B992" t="s">
        <v>2480</v>
      </c>
      <c r="C992" t="s">
        <v>1274</v>
      </c>
      <c r="D992">
        <v>1.5</v>
      </c>
      <c r="E992">
        <v>1.62</v>
      </c>
      <c r="F992">
        <v>3.05</v>
      </c>
      <c r="G992">
        <v>0</v>
      </c>
      <c r="H992">
        <v>89.25</v>
      </c>
      <c r="I992">
        <v>1.23</v>
      </c>
      <c r="J992">
        <v>20</v>
      </c>
      <c r="K992" t="s">
        <v>1993</v>
      </c>
      <c r="L992">
        <v>1</v>
      </c>
      <c r="M992">
        <v>1</v>
      </c>
      <c r="N992" s="1">
        <f t="shared" si="30"/>
        <v>0</v>
      </c>
      <c r="O992" s="1">
        <f t="shared" si="31"/>
        <v>1</v>
      </c>
    </row>
    <row r="993" spans="1:15" x14ac:dyDescent="0.25">
      <c r="A993" t="s">
        <v>2481</v>
      </c>
      <c r="B993" t="s">
        <v>2482</v>
      </c>
      <c r="C993" t="s">
        <v>1082</v>
      </c>
      <c r="D993">
        <v>1.5</v>
      </c>
      <c r="E993">
        <v>1.62</v>
      </c>
      <c r="F993">
        <v>3.05</v>
      </c>
      <c r="G993">
        <v>0</v>
      </c>
      <c r="H993">
        <v>85.4</v>
      </c>
      <c r="I993">
        <v>1.87</v>
      </c>
      <c r="J993">
        <v>20.13</v>
      </c>
      <c r="K993" t="s">
        <v>1993</v>
      </c>
      <c r="L993">
        <v>1</v>
      </c>
      <c r="M993">
        <v>1</v>
      </c>
      <c r="N993" s="1">
        <f t="shared" si="30"/>
        <v>0</v>
      </c>
      <c r="O993" s="1">
        <f t="shared" si="31"/>
        <v>1</v>
      </c>
    </row>
    <row r="994" spans="1:15" x14ac:dyDescent="0.25">
      <c r="A994" t="s">
        <v>2483</v>
      </c>
      <c r="B994" t="s">
        <v>2484</v>
      </c>
      <c r="C994" t="s">
        <v>2485</v>
      </c>
      <c r="D994">
        <v>1.49</v>
      </c>
      <c r="E994">
        <v>3.17</v>
      </c>
      <c r="F994">
        <v>3.03</v>
      </c>
      <c r="G994">
        <v>19.43</v>
      </c>
      <c r="H994">
        <v>60.5</v>
      </c>
      <c r="I994">
        <v>1</v>
      </c>
      <c r="J994">
        <v>6</v>
      </c>
      <c r="K994" t="s">
        <v>1993</v>
      </c>
      <c r="L994">
        <v>1</v>
      </c>
      <c r="M994">
        <v>1</v>
      </c>
      <c r="N994" s="1">
        <f t="shared" si="30"/>
        <v>0</v>
      </c>
      <c r="O994" s="1">
        <f t="shared" si="31"/>
        <v>1</v>
      </c>
    </row>
    <row r="995" spans="1:15" x14ac:dyDescent="0.25">
      <c r="A995" t="s">
        <v>2486</v>
      </c>
      <c r="B995" t="s">
        <v>2487</v>
      </c>
      <c r="C995" t="s">
        <v>1274</v>
      </c>
      <c r="D995">
        <v>1.48</v>
      </c>
      <c r="E995">
        <v>1.62</v>
      </c>
      <c r="F995">
        <v>3.01</v>
      </c>
      <c r="G995">
        <v>0</v>
      </c>
      <c r="H995">
        <v>88.42</v>
      </c>
      <c r="I995">
        <v>1.39</v>
      </c>
      <c r="J995">
        <v>20.13</v>
      </c>
      <c r="K995" t="s">
        <v>1993</v>
      </c>
      <c r="L995">
        <v>1</v>
      </c>
      <c r="M995">
        <v>1</v>
      </c>
      <c r="N995" s="1">
        <f t="shared" si="30"/>
        <v>0</v>
      </c>
      <c r="O995" s="1">
        <f t="shared" si="31"/>
        <v>1</v>
      </c>
    </row>
    <row r="996" spans="1:15" x14ac:dyDescent="0.25">
      <c r="A996" t="s">
        <v>2488</v>
      </c>
      <c r="B996" t="s">
        <v>2489</v>
      </c>
      <c r="C996" t="s">
        <v>2490</v>
      </c>
      <c r="D996">
        <v>1.44</v>
      </c>
      <c r="E996">
        <v>4.09</v>
      </c>
      <c r="F996">
        <v>2.92</v>
      </c>
      <c r="G996">
        <v>21.64</v>
      </c>
      <c r="H996">
        <v>63.39</v>
      </c>
      <c r="I996">
        <v>2.4700000000000002</v>
      </c>
      <c r="J996">
        <v>8.98</v>
      </c>
      <c r="K996" t="s">
        <v>1993</v>
      </c>
      <c r="L996">
        <v>1</v>
      </c>
      <c r="M996">
        <v>1</v>
      </c>
      <c r="N996" s="1">
        <f t="shared" si="30"/>
        <v>0</v>
      </c>
      <c r="O996" s="1">
        <f t="shared" si="31"/>
        <v>1</v>
      </c>
    </row>
    <row r="997" spans="1:15" x14ac:dyDescent="0.25">
      <c r="A997" t="s">
        <v>2491</v>
      </c>
      <c r="B997" t="s">
        <v>2492</v>
      </c>
      <c r="C997" t="s">
        <v>717</v>
      </c>
      <c r="D997">
        <v>1.43</v>
      </c>
      <c r="E997">
        <v>1.27</v>
      </c>
      <c r="F997">
        <v>2.91</v>
      </c>
      <c r="G997">
        <v>4.03</v>
      </c>
      <c r="H997">
        <v>89.77</v>
      </c>
      <c r="I997">
        <v>3.69</v>
      </c>
      <c r="J997">
        <v>11</v>
      </c>
      <c r="K997" t="s">
        <v>1993</v>
      </c>
      <c r="L997">
        <v>1</v>
      </c>
      <c r="M997">
        <v>1</v>
      </c>
      <c r="N997" s="1">
        <f t="shared" si="30"/>
        <v>0</v>
      </c>
      <c r="O997" s="1">
        <f t="shared" si="31"/>
        <v>1</v>
      </c>
    </row>
    <row r="998" spans="1:15" x14ac:dyDescent="0.25">
      <c r="A998" t="s">
        <v>2493</v>
      </c>
      <c r="B998" t="s">
        <v>2494</v>
      </c>
      <c r="C998" t="s">
        <v>2364</v>
      </c>
      <c r="D998">
        <v>1.42</v>
      </c>
      <c r="E998">
        <v>2.2999999999999998</v>
      </c>
      <c r="F998">
        <v>2.89</v>
      </c>
      <c r="G998">
        <v>13.77</v>
      </c>
      <c r="H998">
        <v>85.25</v>
      </c>
      <c r="I998">
        <v>0.98</v>
      </c>
      <c r="J998">
        <v>4.05</v>
      </c>
      <c r="K998" t="s">
        <v>1993</v>
      </c>
      <c r="L998">
        <v>1</v>
      </c>
      <c r="M998">
        <v>1</v>
      </c>
      <c r="N998" s="1">
        <f t="shared" si="30"/>
        <v>0</v>
      </c>
      <c r="O998" s="1">
        <f t="shared" si="31"/>
        <v>1</v>
      </c>
    </row>
    <row r="999" spans="1:15" x14ac:dyDescent="0.25">
      <c r="A999" t="s">
        <v>2495</v>
      </c>
      <c r="B999" t="s">
        <v>2496</v>
      </c>
      <c r="C999" t="s">
        <v>2364</v>
      </c>
      <c r="D999">
        <v>1.42</v>
      </c>
      <c r="E999">
        <v>2.2999999999999998</v>
      </c>
      <c r="F999">
        <v>2.89</v>
      </c>
      <c r="G999">
        <v>14.1</v>
      </c>
      <c r="H999">
        <v>84.93</v>
      </c>
      <c r="I999">
        <v>0.97</v>
      </c>
      <c r="J999">
        <v>4.2</v>
      </c>
      <c r="K999" t="s">
        <v>1993</v>
      </c>
      <c r="L999">
        <v>1</v>
      </c>
      <c r="M999">
        <v>1</v>
      </c>
      <c r="N999" s="1">
        <f t="shared" si="30"/>
        <v>0</v>
      </c>
      <c r="O999" s="1">
        <f t="shared" si="31"/>
        <v>1</v>
      </c>
    </row>
    <row r="1000" spans="1:15" x14ac:dyDescent="0.25">
      <c r="A1000" t="s">
        <v>2497</v>
      </c>
      <c r="B1000" t="s">
        <v>2498</v>
      </c>
      <c r="C1000" t="s">
        <v>2499</v>
      </c>
      <c r="D1000">
        <v>1.4</v>
      </c>
      <c r="E1000">
        <v>4.09</v>
      </c>
      <c r="F1000">
        <v>2.84</v>
      </c>
      <c r="G1000">
        <v>23.74</v>
      </c>
      <c r="H1000">
        <v>61.99</v>
      </c>
      <c r="I1000">
        <v>2.54</v>
      </c>
      <c r="J1000">
        <v>10.87</v>
      </c>
      <c r="K1000" t="s">
        <v>1993</v>
      </c>
      <c r="L1000">
        <v>1</v>
      </c>
      <c r="M1000">
        <v>1</v>
      </c>
      <c r="N1000" s="1">
        <f t="shared" si="30"/>
        <v>0</v>
      </c>
      <c r="O1000" s="1">
        <f t="shared" si="31"/>
        <v>1</v>
      </c>
    </row>
    <row r="1001" spans="1:15" x14ac:dyDescent="0.25">
      <c r="A1001" t="s">
        <v>2500</v>
      </c>
      <c r="B1001" t="s">
        <v>2501</v>
      </c>
      <c r="D1001">
        <v>1.38</v>
      </c>
      <c r="E1001">
        <v>0</v>
      </c>
      <c r="F1001">
        <v>2.79</v>
      </c>
      <c r="G1001">
        <v>15.38</v>
      </c>
      <c r="H1001">
        <v>82.65</v>
      </c>
      <c r="I1001">
        <v>0.97</v>
      </c>
      <c r="J1001">
        <v>14.5</v>
      </c>
      <c r="K1001" t="s">
        <v>1993</v>
      </c>
      <c r="L1001">
        <v>1</v>
      </c>
      <c r="M1001">
        <v>1</v>
      </c>
      <c r="N1001" s="1">
        <f t="shared" si="30"/>
        <v>0</v>
      </c>
      <c r="O1001" s="1">
        <f t="shared" si="31"/>
        <v>1</v>
      </c>
    </row>
    <row r="1002" spans="1:15" x14ac:dyDescent="0.25">
      <c r="A1002" t="s">
        <v>2502</v>
      </c>
      <c r="B1002" t="s">
        <v>2503</v>
      </c>
      <c r="C1002" t="s">
        <v>1315</v>
      </c>
      <c r="D1002">
        <v>1.34</v>
      </c>
      <c r="E1002">
        <v>2.91</v>
      </c>
      <c r="F1002">
        <v>2.71</v>
      </c>
      <c r="G1002">
        <v>8.75</v>
      </c>
      <c r="H1002">
        <v>71.45</v>
      </c>
      <c r="I1002">
        <v>1.8</v>
      </c>
      <c r="J1002">
        <v>16.66</v>
      </c>
      <c r="K1002" t="s">
        <v>1993</v>
      </c>
      <c r="L1002">
        <v>1</v>
      </c>
      <c r="M1002">
        <v>1</v>
      </c>
      <c r="N1002" s="1">
        <f t="shared" si="30"/>
        <v>0</v>
      </c>
      <c r="O1002" s="1">
        <f t="shared" si="31"/>
        <v>1</v>
      </c>
    </row>
    <row r="1003" spans="1:15" x14ac:dyDescent="0.25">
      <c r="A1003" t="s">
        <v>2504</v>
      </c>
      <c r="B1003" t="s">
        <v>2505</v>
      </c>
      <c r="C1003" t="s">
        <v>2506</v>
      </c>
      <c r="D1003">
        <v>1.26</v>
      </c>
      <c r="E1003">
        <v>3.29</v>
      </c>
      <c r="F1003">
        <v>2.56</v>
      </c>
      <c r="G1003">
        <v>14.36</v>
      </c>
      <c r="H1003">
        <v>71.03</v>
      </c>
      <c r="I1003">
        <v>2.2200000000000002</v>
      </c>
      <c r="J1003">
        <v>20.46</v>
      </c>
      <c r="K1003" t="s">
        <v>1993</v>
      </c>
      <c r="L1003">
        <v>1</v>
      </c>
      <c r="M1003">
        <v>1</v>
      </c>
      <c r="N1003" s="1">
        <f t="shared" si="30"/>
        <v>0</v>
      </c>
      <c r="O1003" s="1">
        <f t="shared" si="31"/>
        <v>1</v>
      </c>
    </row>
    <row r="1004" spans="1:15" x14ac:dyDescent="0.25">
      <c r="A1004" t="s">
        <v>2507</v>
      </c>
      <c r="B1004" t="s">
        <v>2508</v>
      </c>
      <c r="C1004" t="s">
        <v>1082</v>
      </c>
      <c r="D1004">
        <v>1.24</v>
      </c>
      <c r="E1004">
        <v>1.62</v>
      </c>
      <c r="F1004">
        <v>2.52</v>
      </c>
      <c r="G1004">
        <v>0</v>
      </c>
      <c r="H1004">
        <v>84.06</v>
      </c>
      <c r="I1004">
        <v>1.76</v>
      </c>
      <c r="J1004">
        <v>20</v>
      </c>
      <c r="K1004" t="s">
        <v>1993</v>
      </c>
      <c r="L1004">
        <v>1</v>
      </c>
      <c r="M1004">
        <v>1</v>
      </c>
      <c r="N1004" s="1">
        <f t="shared" si="30"/>
        <v>0</v>
      </c>
      <c r="O1004" s="1">
        <f t="shared" si="31"/>
        <v>1</v>
      </c>
    </row>
    <row r="1005" spans="1:15" x14ac:dyDescent="0.25">
      <c r="A1005" t="s">
        <v>2509</v>
      </c>
      <c r="B1005" t="s">
        <v>737</v>
      </c>
      <c r="D1005">
        <v>1.22</v>
      </c>
      <c r="F1005">
        <v>2.48</v>
      </c>
      <c r="G1005">
        <v>14.6</v>
      </c>
      <c r="H1005">
        <v>67.7</v>
      </c>
      <c r="I1005">
        <v>2.2000000000000002</v>
      </c>
      <c r="J1005">
        <v>20.5</v>
      </c>
      <c r="K1005" t="s">
        <v>1993</v>
      </c>
      <c r="L1005">
        <v>1</v>
      </c>
      <c r="M1005">
        <v>1</v>
      </c>
      <c r="N1005" s="1">
        <f t="shared" si="30"/>
        <v>0</v>
      </c>
      <c r="O1005" s="1">
        <f t="shared" si="31"/>
        <v>1</v>
      </c>
    </row>
    <row r="1006" spans="1:15" x14ac:dyDescent="0.25">
      <c r="A1006" t="s">
        <v>2510</v>
      </c>
      <c r="B1006" t="s">
        <v>2511</v>
      </c>
      <c r="C1006" t="s">
        <v>1082</v>
      </c>
      <c r="D1006">
        <v>1.17</v>
      </c>
      <c r="E1006">
        <v>1.62</v>
      </c>
      <c r="F1006">
        <v>2.37</v>
      </c>
      <c r="G1006">
        <v>0</v>
      </c>
      <c r="H1006">
        <v>86</v>
      </c>
      <c r="I1006">
        <v>1.82</v>
      </c>
      <c r="J1006">
        <v>15.98</v>
      </c>
      <c r="K1006" t="s">
        <v>1993</v>
      </c>
      <c r="L1006">
        <v>1</v>
      </c>
      <c r="M1006">
        <v>1</v>
      </c>
      <c r="N1006" s="1">
        <f t="shared" si="30"/>
        <v>0</v>
      </c>
      <c r="O1006" s="1">
        <f t="shared" si="31"/>
        <v>1</v>
      </c>
    </row>
    <row r="1007" spans="1:15" x14ac:dyDescent="0.25">
      <c r="A1007" t="s">
        <v>2512</v>
      </c>
      <c r="B1007" t="s">
        <v>2513</v>
      </c>
      <c r="C1007" t="s">
        <v>2514</v>
      </c>
      <c r="D1007">
        <v>1.07</v>
      </c>
      <c r="F1007">
        <v>2.29</v>
      </c>
      <c r="G1007">
        <v>13</v>
      </c>
      <c r="H1007">
        <v>83.82</v>
      </c>
      <c r="I1007">
        <v>1</v>
      </c>
      <c r="J1007">
        <v>21.85</v>
      </c>
      <c r="K1007" t="s">
        <v>1993</v>
      </c>
      <c r="L1007">
        <v>1</v>
      </c>
      <c r="M1007">
        <v>1</v>
      </c>
      <c r="N1007" s="1">
        <f t="shared" si="30"/>
        <v>0</v>
      </c>
      <c r="O1007" s="1">
        <f t="shared" si="31"/>
        <v>1</v>
      </c>
    </row>
    <row r="1008" spans="1:15" x14ac:dyDescent="0.25">
      <c r="A1008" t="s">
        <v>2515</v>
      </c>
      <c r="B1008" t="s">
        <v>2516</v>
      </c>
      <c r="D1008">
        <v>0.98</v>
      </c>
      <c r="E1008">
        <v>0</v>
      </c>
      <c r="F1008">
        <v>1.99</v>
      </c>
      <c r="G1008">
        <v>11.02</v>
      </c>
      <c r="H1008">
        <v>83.98</v>
      </c>
      <c r="I1008">
        <v>5</v>
      </c>
      <c r="J1008">
        <v>2.8</v>
      </c>
      <c r="K1008" t="s">
        <v>1993</v>
      </c>
      <c r="L1008">
        <v>1</v>
      </c>
      <c r="M1008">
        <v>1</v>
      </c>
      <c r="N1008" s="1">
        <f t="shared" si="30"/>
        <v>0</v>
      </c>
      <c r="O1008" s="1">
        <f t="shared" si="31"/>
        <v>1</v>
      </c>
    </row>
    <row r="1009" spans="1:15" x14ac:dyDescent="0.25">
      <c r="A1009" t="s">
        <v>2517</v>
      </c>
      <c r="B1009" t="s">
        <v>2518</v>
      </c>
      <c r="C1009" t="s">
        <v>943</v>
      </c>
      <c r="D1009">
        <v>0.96</v>
      </c>
      <c r="E1009">
        <v>0.8</v>
      </c>
      <c r="F1009">
        <v>1.95</v>
      </c>
      <c r="G1009">
        <v>0</v>
      </c>
      <c r="H1009">
        <v>99</v>
      </c>
      <c r="I1009">
        <v>1</v>
      </c>
      <c r="J1009">
        <v>15</v>
      </c>
      <c r="K1009" t="s">
        <v>1993</v>
      </c>
      <c r="L1009">
        <v>1</v>
      </c>
      <c r="M1009">
        <v>1</v>
      </c>
      <c r="N1009" s="1">
        <f t="shared" si="30"/>
        <v>0</v>
      </c>
      <c r="O1009" s="1">
        <f t="shared" si="31"/>
        <v>1</v>
      </c>
    </row>
    <row r="1010" spans="1:15" x14ac:dyDescent="0.25">
      <c r="A1010" t="s">
        <v>2519</v>
      </c>
      <c r="B1010" t="s">
        <v>2520</v>
      </c>
      <c r="C1010" t="s">
        <v>2521</v>
      </c>
      <c r="D1010">
        <v>0.95</v>
      </c>
      <c r="E1010">
        <v>4.41</v>
      </c>
      <c r="F1010">
        <v>1.92</v>
      </c>
      <c r="G1010">
        <v>41.03</v>
      </c>
      <c r="H1010">
        <v>49.09</v>
      </c>
      <c r="I1010">
        <v>1</v>
      </c>
      <c r="J1010">
        <v>46.41</v>
      </c>
      <c r="K1010" t="s">
        <v>1993</v>
      </c>
      <c r="L1010">
        <v>1</v>
      </c>
      <c r="M1010">
        <v>1</v>
      </c>
      <c r="N1010" s="1">
        <f t="shared" si="30"/>
        <v>0</v>
      </c>
      <c r="O1010" s="1">
        <f t="shared" si="31"/>
        <v>1</v>
      </c>
    </row>
    <row r="1011" spans="1:15" x14ac:dyDescent="0.25">
      <c r="A1011" t="s">
        <v>2522</v>
      </c>
      <c r="B1011" t="s">
        <v>2518</v>
      </c>
      <c r="C1011" t="s">
        <v>943</v>
      </c>
      <c r="D1011">
        <v>0.85</v>
      </c>
      <c r="E1011">
        <v>0.91</v>
      </c>
      <c r="F1011">
        <v>1.73</v>
      </c>
      <c r="G1011">
        <v>0</v>
      </c>
      <c r="H1011">
        <v>98.94</v>
      </c>
      <c r="I1011">
        <v>1.06</v>
      </c>
      <c r="J1011">
        <v>14.52</v>
      </c>
      <c r="K1011" t="s">
        <v>1993</v>
      </c>
      <c r="L1011">
        <v>1</v>
      </c>
      <c r="M1011">
        <v>1</v>
      </c>
      <c r="N1011" s="1">
        <f t="shared" si="30"/>
        <v>0</v>
      </c>
      <c r="O1011" s="1">
        <f t="shared" si="31"/>
        <v>1</v>
      </c>
    </row>
    <row r="1012" spans="1:15" x14ac:dyDescent="0.25">
      <c r="A1012" t="s">
        <v>2523</v>
      </c>
      <c r="B1012" t="s">
        <v>2524</v>
      </c>
      <c r="C1012" t="s">
        <v>2449</v>
      </c>
      <c r="D1012">
        <v>0.85</v>
      </c>
      <c r="E1012">
        <v>2.0299999999999998</v>
      </c>
      <c r="F1012">
        <v>1.73</v>
      </c>
      <c r="G1012">
        <v>16.37</v>
      </c>
      <c r="H1012">
        <v>64.92</v>
      </c>
      <c r="I1012">
        <v>9.2100000000000009</v>
      </c>
      <c r="J1012">
        <v>12.85</v>
      </c>
      <c r="K1012" t="s">
        <v>1993</v>
      </c>
      <c r="L1012">
        <v>1</v>
      </c>
      <c r="M1012">
        <v>1</v>
      </c>
      <c r="N1012" s="1">
        <f t="shared" si="30"/>
        <v>0</v>
      </c>
      <c r="O1012" s="1">
        <f t="shared" si="31"/>
        <v>1</v>
      </c>
    </row>
    <row r="1013" spans="1:15" x14ac:dyDescent="0.25">
      <c r="A1013" t="s">
        <v>2525</v>
      </c>
      <c r="B1013" t="s">
        <v>2526</v>
      </c>
      <c r="C1013" t="s">
        <v>2449</v>
      </c>
      <c r="D1013">
        <v>0.84</v>
      </c>
      <c r="E1013">
        <v>2.0299999999999998</v>
      </c>
      <c r="F1013">
        <v>1.7</v>
      </c>
      <c r="G1013">
        <v>16.37</v>
      </c>
      <c r="H1013">
        <v>64.92</v>
      </c>
      <c r="I1013">
        <v>9.2100000000000009</v>
      </c>
      <c r="J1013">
        <v>12.85</v>
      </c>
      <c r="K1013" t="s">
        <v>1993</v>
      </c>
      <c r="L1013">
        <v>1</v>
      </c>
      <c r="M1013">
        <v>1</v>
      </c>
      <c r="N1013" s="1">
        <f t="shared" si="30"/>
        <v>0</v>
      </c>
      <c r="O1013" s="1">
        <f t="shared" si="31"/>
        <v>1</v>
      </c>
    </row>
    <row r="1014" spans="1:15" x14ac:dyDescent="0.25">
      <c r="A1014" t="s">
        <v>2527</v>
      </c>
      <c r="B1014" t="s">
        <v>2528</v>
      </c>
      <c r="C1014" t="s">
        <v>2478</v>
      </c>
      <c r="D1014">
        <v>0.79</v>
      </c>
      <c r="E1014">
        <v>3.33</v>
      </c>
      <c r="F1014">
        <v>1.59</v>
      </c>
      <c r="G1014">
        <v>19.989999999999998</v>
      </c>
      <c r="H1014">
        <v>61.06</v>
      </c>
      <c r="I1014">
        <v>17.28</v>
      </c>
      <c r="J1014">
        <v>22.52</v>
      </c>
      <c r="K1014" t="s">
        <v>1993</v>
      </c>
      <c r="L1014">
        <v>1</v>
      </c>
      <c r="M1014">
        <v>1</v>
      </c>
      <c r="N1014" s="1">
        <f t="shared" si="30"/>
        <v>0</v>
      </c>
      <c r="O1014" s="1">
        <f t="shared" si="31"/>
        <v>1</v>
      </c>
    </row>
    <row r="1015" spans="1:15" x14ac:dyDescent="0.25">
      <c r="A1015" t="s">
        <v>2529</v>
      </c>
      <c r="B1015" t="s">
        <v>2530</v>
      </c>
      <c r="C1015" t="s">
        <v>2478</v>
      </c>
      <c r="D1015">
        <v>0.79</v>
      </c>
      <c r="E1015">
        <v>3.33</v>
      </c>
      <c r="F1015">
        <v>1.59</v>
      </c>
      <c r="G1015">
        <v>27.97</v>
      </c>
      <c r="H1015">
        <v>61.02</v>
      </c>
      <c r="I1015">
        <v>6.16</v>
      </c>
      <c r="J1015">
        <v>26.72</v>
      </c>
      <c r="K1015" t="s">
        <v>1993</v>
      </c>
      <c r="L1015">
        <v>1</v>
      </c>
      <c r="M1015">
        <v>1</v>
      </c>
      <c r="N1015" s="1">
        <f t="shared" si="30"/>
        <v>0</v>
      </c>
      <c r="O1015" s="1">
        <f t="shared" si="31"/>
        <v>1</v>
      </c>
    </row>
    <row r="1016" spans="1:15" x14ac:dyDescent="0.25">
      <c r="A1016" t="s">
        <v>2531</v>
      </c>
      <c r="B1016" t="s">
        <v>2532</v>
      </c>
      <c r="C1016" t="s">
        <v>2533</v>
      </c>
      <c r="D1016">
        <v>0.78</v>
      </c>
      <c r="E1016">
        <v>3.86</v>
      </c>
      <c r="F1016">
        <v>1.58</v>
      </c>
      <c r="G1016">
        <v>31</v>
      </c>
      <c r="H1016">
        <v>45</v>
      </c>
      <c r="I1016">
        <v>3</v>
      </c>
      <c r="J1016">
        <v>12</v>
      </c>
      <c r="K1016" t="s">
        <v>1993</v>
      </c>
      <c r="L1016">
        <v>1</v>
      </c>
      <c r="M1016">
        <v>1</v>
      </c>
      <c r="N1016" s="1">
        <f t="shared" si="30"/>
        <v>0</v>
      </c>
      <c r="O1016" s="1">
        <f t="shared" si="31"/>
        <v>1</v>
      </c>
    </row>
    <row r="1017" spans="1:15" x14ac:dyDescent="0.25">
      <c r="A1017" t="s">
        <v>2534</v>
      </c>
      <c r="B1017" t="s">
        <v>2535</v>
      </c>
      <c r="C1017" t="s">
        <v>2536</v>
      </c>
      <c r="D1017">
        <v>0.76</v>
      </c>
      <c r="E1017">
        <v>1.35</v>
      </c>
      <c r="F1017">
        <v>2.5299999999999998</v>
      </c>
      <c r="G1017">
        <v>18.350000000000001</v>
      </c>
      <c r="H1017">
        <v>70.48</v>
      </c>
      <c r="I1017">
        <v>3.94</v>
      </c>
      <c r="J1017">
        <v>8.0399999999999991</v>
      </c>
      <c r="K1017" t="s">
        <v>1993</v>
      </c>
      <c r="L1017">
        <v>1</v>
      </c>
      <c r="M1017">
        <v>1</v>
      </c>
      <c r="N1017" s="1">
        <f t="shared" si="30"/>
        <v>0</v>
      </c>
      <c r="O1017" s="1">
        <f t="shared" si="31"/>
        <v>1</v>
      </c>
    </row>
    <row r="1018" spans="1:15" x14ac:dyDescent="0.25">
      <c r="A1018" t="s">
        <v>2537</v>
      </c>
      <c r="B1018" t="s">
        <v>2538</v>
      </c>
      <c r="C1018" t="s">
        <v>2539</v>
      </c>
      <c r="D1018">
        <v>0.74</v>
      </c>
      <c r="E1018">
        <v>8.18</v>
      </c>
      <c r="F1018">
        <v>1.51</v>
      </c>
      <c r="G1018">
        <v>64</v>
      </c>
      <c r="H1018">
        <v>16</v>
      </c>
      <c r="I1018">
        <v>5</v>
      </c>
      <c r="J1018">
        <v>18</v>
      </c>
      <c r="K1018" t="s">
        <v>1993</v>
      </c>
      <c r="L1018">
        <v>1</v>
      </c>
      <c r="M1018">
        <v>1</v>
      </c>
      <c r="N1018" s="1">
        <f t="shared" si="30"/>
        <v>0</v>
      </c>
      <c r="O1018" s="1">
        <f t="shared" si="31"/>
        <v>1</v>
      </c>
    </row>
    <row r="1019" spans="1:15" x14ac:dyDescent="0.25">
      <c r="A1019" t="s">
        <v>2540</v>
      </c>
      <c r="B1019" t="s">
        <v>2541</v>
      </c>
      <c r="C1019" t="s">
        <v>2449</v>
      </c>
      <c r="D1019">
        <v>0.71</v>
      </c>
      <c r="E1019">
        <v>2.02</v>
      </c>
      <c r="F1019">
        <v>1.44</v>
      </c>
      <c r="G1019">
        <v>14</v>
      </c>
      <c r="H1019">
        <v>68</v>
      </c>
      <c r="I1019">
        <v>10.4</v>
      </c>
      <c r="J1019">
        <v>10.5</v>
      </c>
      <c r="K1019" t="s">
        <v>1993</v>
      </c>
      <c r="L1019">
        <v>1</v>
      </c>
      <c r="M1019">
        <v>1</v>
      </c>
      <c r="N1019" s="1">
        <f t="shared" si="30"/>
        <v>0</v>
      </c>
      <c r="O1019" s="1">
        <f t="shared" si="31"/>
        <v>1</v>
      </c>
    </row>
    <row r="1020" spans="1:15" x14ac:dyDescent="0.25">
      <c r="A1020" t="s">
        <v>2542</v>
      </c>
      <c r="B1020" t="s">
        <v>2543</v>
      </c>
      <c r="C1020" t="s">
        <v>2449</v>
      </c>
      <c r="D1020">
        <v>0.68</v>
      </c>
      <c r="E1020">
        <v>2.0299999999999998</v>
      </c>
      <c r="F1020">
        <v>1.38</v>
      </c>
      <c r="G1020">
        <v>14</v>
      </c>
      <c r="H1020">
        <v>68</v>
      </c>
      <c r="I1020">
        <v>10.4</v>
      </c>
      <c r="J1020">
        <v>10.5</v>
      </c>
      <c r="K1020" t="s">
        <v>1993</v>
      </c>
      <c r="L1020">
        <v>1</v>
      </c>
      <c r="M1020">
        <v>1</v>
      </c>
      <c r="N1020" s="1">
        <f t="shared" si="30"/>
        <v>0</v>
      </c>
      <c r="O1020" s="1">
        <f t="shared" si="31"/>
        <v>1</v>
      </c>
    </row>
    <row r="1021" spans="1:15" x14ac:dyDescent="0.25">
      <c r="A1021" t="s">
        <v>2544</v>
      </c>
      <c r="B1021" t="s">
        <v>2545</v>
      </c>
      <c r="C1021" t="s">
        <v>2546</v>
      </c>
      <c r="D1021">
        <v>0.64</v>
      </c>
      <c r="E1021">
        <v>0.88</v>
      </c>
      <c r="F1021">
        <v>1.29</v>
      </c>
      <c r="G1021">
        <v>0</v>
      </c>
      <c r="H1021">
        <v>87.96</v>
      </c>
      <c r="I1021">
        <v>10.039999999999999</v>
      </c>
      <c r="J1021">
        <v>18.46</v>
      </c>
      <c r="K1021" t="s">
        <v>1993</v>
      </c>
      <c r="L1021">
        <v>1</v>
      </c>
      <c r="M1021">
        <v>1</v>
      </c>
      <c r="N1021" s="1">
        <f t="shared" si="30"/>
        <v>0</v>
      </c>
      <c r="O1021" s="1">
        <f t="shared" si="31"/>
        <v>1</v>
      </c>
    </row>
    <row r="1022" spans="1:15" x14ac:dyDescent="0.25">
      <c r="A1022" t="s">
        <v>2547</v>
      </c>
      <c r="B1022" t="s">
        <v>2548</v>
      </c>
      <c r="C1022" t="s">
        <v>2549</v>
      </c>
      <c r="D1022">
        <v>0.56000000000000005</v>
      </c>
      <c r="E1022">
        <v>1.89</v>
      </c>
      <c r="F1022">
        <v>1.1299999999999999</v>
      </c>
      <c r="G1022">
        <v>10</v>
      </c>
      <c r="H1022">
        <v>76.5</v>
      </c>
      <c r="I1022">
        <v>5</v>
      </c>
      <c r="J1022">
        <v>12.5</v>
      </c>
      <c r="K1022" t="s">
        <v>1993</v>
      </c>
      <c r="L1022">
        <v>1</v>
      </c>
      <c r="M1022">
        <v>1</v>
      </c>
      <c r="N1022" s="1">
        <f t="shared" si="30"/>
        <v>0</v>
      </c>
      <c r="O1022" s="1">
        <f t="shared" si="31"/>
        <v>1</v>
      </c>
    </row>
    <row r="1023" spans="1:15" x14ac:dyDescent="0.25">
      <c r="A1023" t="s">
        <v>2550</v>
      </c>
      <c r="B1023" t="s">
        <v>2551</v>
      </c>
      <c r="C1023" t="s">
        <v>1274</v>
      </c>
      <c r="D1023">
        <v>0.53</v>
      </c>
      <c r="E1023">
        <v>1.62</v>
      </c>
      <c r="F1023">
        <v>1.08</v>
      </c>
      <c r="G1023">
        <v>0</v>
      </c>
      <c r="H1023">
        <v>83.17</v>
      </c>
      <c r="I1023">
        <v>1.88</v>
      </c>
      <c r="J1023">
        <v>10.37</v>
      </c>
      <c r="K1023" t="s">
        <v>1993</v>
      </c>
      <c r="L1023">
        <v>1</v>
      </c>
      <c r="M1023">
        <v>1</v>
      </c>
      <c r="N1023" s="1">
        <f t="shared" si="30"/>
        <v>0</v>
      </c>
      <c r="O1023" s="1">
        <f t="shared" si="31"/>
        <v>1</v>
      </c>
    </row>
    <row r="1024" spans="1:15" x14ac:dyDescent="0.25">
      <c r="A1024" t="s">
        <v>2552</v>
      </c>
      <c r="B1024" t="s">
        <v>2553</v>
      </c>
      <c r="C1024" t="s">
        <v>2554</v>
      </c>
      <c r="D1024">
        <v>0.51</v>
      </c>
      <c r="F1024">
        <v>1.03</v>
      </c>
      <c r="G1024">
        <v>24.55</v>
      </c>
      <c r="H1024">
        <v>74.56</v>
      </c>
      <c r="I1024">
        <v>0.89</v>
      </c>
      <c r="J1024">
        <v>3.21</v>
      </c>
      <c r="K1024" t="s">
        <v>1993</v>
      </c>
      <c r="L1024">
        <v>1</v>
      </c>
      <c r="M1024">
        <v>1</v>
      </c>
      <c r="N1024" s="1">
        <f t="shared" si="30"/>
        <v>0</v>
      </c>
      <c r="O1024" s="1">
        <f t="shared" si="31"/>
        <v>1</v>
      </c>
    </row>
    <row r="1025" spans="1:15" x14ac:dyDescent="0.25">
      <c r="A1025" t="s">
        <v>2555</v>
      </c>
      <c r="B1025" t="s">
        <v>2556</v>
      </c>
      <c r="C1025" t="s">
        <v>2449</v>
      </c>
      <c r="D1025">
        <v>0.5</v>
      </c>
      <c r="E1025">
        <v>2.02</v>
      </c>
      <c r="F1025">
        <v>1</v>
      </c>
      <c r="G1025">
        <v>14</v>
      </c>
      <c r="H1025">
        <v>68</v>
      </c>
      <c r="I1025">
        <v>10.4</v>
      </c>
      <c r="J1025">
        <v>10.5</v>
      </c>
      <c r="K1025" t="s">
        <v>1993</v>
      </c>
      <c r="L1025">
        <v>1</v>
      </c>
      <c r="M1025">
        <v>1</v>
      </c>
      <c r="N1025" s="1">
        <f t="shared" si="30"/>
        <v>0</v>
      </c>
      <c r="O1025" s="1">
        <f t="shared" si="31"/>
        <v>1</v>
      </c>
    </row>
    <row r="1026" spans="1:15" x14ac:dyDescent="0.25">
      <c r="A1026" t="s">
        <v>2557</v>
      </c>
      <c r="B1026" t="s">
        <v>2558</v>
      </c>
      <c r="C1026" t="s">
        <v>2449</v>
      </c>
      <c r="D1026">
        <v>0.46</v>
      </c>
      <c r="E1026">
        <v>2.0299999999999998</v>
      </c>
      <c r="F1026">
        <v>0.93</v>
      </c>
      <c r="G1026">
        <v>14</v>
      </c>
      <c r="H1026">
        <v>68</v>
      </c>
      <c r="I1026">
        <v>10.4</v>
      </c>
      <c r="J1026">
        <v>10.5</v>
      </c>
      <c r="K1026" t="s">
        <v>1993</v>
      </c>
      <c r="L1026">
        <v>1</v>
      </c>
      <c r="M1026">
        <v>1</v>
      </c>
      <c r="N1026" s="1">
        <f t="shared" ref="N1026:N1089" si="32">1-O1026</f>
        <v>0</v>
      </c>
      <c r="O1026" s="1">
        <f t="shared" ref="O1026:O1089" si="33">M1026/L1026</f>
        <v>1</v>
      </c>
    </row>
    <row r="1027" spans="1:15" x14ac:dyDescent="0.25">
      <c r="A1027" t="s">
        <v>2559</v>
      </c>
      <c r="B1027" t="s">
        <v>2560</v>
      </c>
      <c r="C1027" t="s">
        <v>2561</v>
      </c>
      <c r="D1027">
        <v>0.43</v>
      </c>
      <c r="E1027">
        <v>3.41</v>
      </c>
      <c r="F1027">
        <v>0.86</v>
      </c>
      <c r="G1027">
        <v>100</v>
      </c>
      <c r="H1027">
        <v>0</v>
      </c>
      <c r="I1027">
        <v>0</v>
      </c>
      <c r="J1027">
        <v>32.01</v>
      </c>
      <c r="K1027" t="s">
        <v>1993</v>
      </c>
      <c r="L1027">
        <v>1</v>
      </c>
      <c r="M1027">
        <v>1</v>
      </c>
      <c r="N1027" s="1">
        <f t="shared" si="32"/>
        <v>0</v>
      </c>
      <c r="O1027" s="1">
        <f t="shared" si="33"/>
        <v>1</v>
      </c>
    </row>
    <row r="1028" spans="1:15" x14ac:dyDescent="0.25">
      <c r="A1028" t="s">
        <v>2562</v>
      </c>
      <c r="B1028" t="s">
        <v>2563</v>
      </c>
      <c r="C1028" t="s">
        <v>2564</v>
      </c>
      <c r="D1028">
        <v>0.43</v>
      </c>
      <c r="E1028">
        <v>6.87</v>
      </c>
      <c r="F1028">
        <v>0.86</v>
      </c>
      <c r="G1028">
        <v>99.98</v>
      </c>
      <c r="H1028">
        <v>0</v>
      </c>
      <c r="I1028">
        <v>0</v>
      </c>
      <c r="J1028">
        <v>35.29</v>
      </c>
      <c r="K1028" t="s">
        <v>1993</v>
      </c>
      <c r="L1028">
        <v>1</v>
      </c>
      <c r="M1028">
        <v>1</v>
      </c>
      <c r="N1028" s="1">
        <f t="shared" si="32"/>
        <v>0</v>
      </c>
      <c r="O1028" s="1">
        <f t="shared" si="33"/>
        <v>1</v>
      </c>
    </row>
    <row r="1029" spans="1:15" x14ac:dyDescent="0.25">
      <c r="A1029" t="s">
        <v>2565</v>
      </c>
      <c r="B1029" t="s">
        <v>2566</v>
      </c>
      <c r="C1029" t="s">
        <v>1274</v>
      </c>
      <c r="D1029">
        <v>0.41</v>
      </c>
      <c r="E1029">
        <v>1.62</v>
      </c>
      <c r="F1029">
        <v>0.83</v>
      </c>
      <c r="G1029">
        <v>0</v>
      </c>
      <c r="H1029">
        <v>90.88</v>
      </c>
      <c r="I1029">
        <v>1.99</v>
      </c>
      <c r="J1029">
        <v>19.38</v>
      </c>
      <c r="K1029" t="s">
        <v>1993</v>
      </c>
      <c r="L1029">
        <v>1</v>
      </c>
      <c r="M1029">
        <v>1</v>
      </c>
      <c r="N1029" s="1">
        <f t="shared" si="32"/>
        <v>0</v>
      </c>
      <c r="O1029" s="1">
        <f t="shared" si="33"/>
        <v>1</v>
      </c>
    </row>
    <row r="1030" spans="1:15" x14ac:dyDescent="0.25">
      <c r="A1030" t="s">
        <v>2567</v>
      </c>
      <c r="B1030" t="s">
        <v>2568</v>
      </c>
      <c r="C1030" t="s">
        <v>2569</v>
      </c>
      <c r="D1030">
        <v>0.41</v>
      </c>
      <c r="E1030">
        <v>1.62</v>
      </c>
      <c r="F1030">
        <v>0.84</v>
      </c>
      <c r="G1030">
        <v>2.25</v>
      </c>
      <c r="H1030">
        <v>92</v>
      </c>
      <c r="I1030">
        <v>1.45</v>
      </c>
      <c r="J1030">
        <v>18</v>
      </c>
      <c r="K1030" t="s">
        <v>1993</v>
      </c>
      <c r="L1030">
        <v>1</v>
      </c>
      <c r="M1030">
        <v>1</v>
      </c>
      <c r="N1030" s="1">
        <f t="shared" si="32"/>
        <v>0</v>
      </c>
      <c r="O1030" s="1">
        <f t="shared" si="33"/>
        <v>1</v>
      </c>
    </row>
    <row r="1031" spans="1:15" x14ac:dyDescent="0.25">
      <c r="A1031" t="s">
        <v>2570</v>
      </c>
      <c r="B1031" t="s">
        <v>2571</v>
      </c>
      <c r="C1031" t="s">
        <v>1274</v>
      </c>
      <c r="D1031">
        <v>0.41</v>
      </c>
      <c r="E1031">
        <v>1.62</v>
      </c>
      <c r="F1031">
        <v>0.82</v>
      </c>
      <c r="G1031">
        <v>0</v>
      </c>
      <c r="H1031">
        <v>91.02</v>
      </c>
      <c r="I1031">
        <v>1.98</v>
      </c>
      <c r="J1031">
        <v>20.02</v>
      </c>
      <c r="K1031" t="s">
        <v>1993</v>
      </c>
      <c r="L1031">
        <v>1</v>
      </c>
      <c r="M1031">
        <v>1</v>
      </c>
      <c r="N1031" s="1">
        <f t="shared" si="32"/>
        <v>0</v>
      </c>
      <c r="O1031" s="1">
        <f t="shared" si="33"/>
        <v>1</v>
      </c>
    </row>
    <row r="1032" spans="1:15" x14ac:dyDescent="0.25">
      <c r="A1032" t="s">
        <v>2572</v>
      </c>
      <c r="B1032" t="s">
        <v>2573</v>
      </c>
      <c r="C1032" t="s">
        <v>1678</v>
      </c>
      <c r="D1032">
        <v>0.39</v>
      </c>
      <c r="E1032">
        <v>5.67</v>
      </c>
      <c r="F1032">
        <v>0.8</v>
      </c>
      <c r="G1032">
        <v>53.06</v>
      </c>
      <c r="H1032">
        <v>46.94</v>
      </c>
      <c r="I1032">
        <v>0</v>
      </c>
      <c r="J1032">
        <v>46.94</v>
      </c>
      <c r="K1032" t="s">
        <v>1993</v>
      </c>
      <c r="L1032">
        <v>1</v>
      </c>
      <c r="M1032">
        <v>1</v>
      </c>
      <c r="N1032" s="1">
        <f t="shared" si="32"/>
        <v>0</v>
      </c>
      <c r="O1032" s="1">
        <f t="shared" si="33"/>
        <v>1</v>
      </c>
    </row>
    <row r="1033" spans="1:15" x14ac:dyDescent="0.25">
      <c r="A1033" t="s">
        <v>2574</v>
      </c>
      <c r="B1033" t="s">
        <v>2575</v>
      </c>
      <c r="C1033" t="s">
        <v>2576</v>
      </c>
      <c r="D1033">
        <v>0.38</v>
      </c>
      <c r="E1033">
        <v>7.03</v>
      </c>
      <c r="F1033">
        <v>0.76</v>
      </c>
      <c r="G1033">
        <v>98.11</v>
      </c>
      <c r="H1033">
        <v>0</v>
      </c>
      <c r="I1033">
        <v>0.89</v>
      </c>
      <c r="J1033">
        <v>61.76</v>
      </c>
      <c r="K1033" t="s">
        <v>1993</v>
      </c>
      <c r="L1033">
        <v>1</v>
      </c>
      <c r="M1033">
        <v>1</v>
      </c>
      <c r="N1033" s="1">
        <f t="shared" si="32"/>
        <v>0</v>
      </c>
      <c r="O1033" s="1">
        <f t="shared" si="33"/>
        <v>1</v>
      </c>
    </row>
    <row r="1034" spans="1:15" x14ac:dyDescent="0.25">
      <c r="A1034" t="s">
        <v>2577</v>
      </c>
      <c r="B1034" t="s">
        <v>2578</v>
      </c>
      <c r="C1034" t="s">
        <v>2579</v>
      </c>
      <c r="D1034">
        <v>0.38</v>
      </c>
      <c r="E1034">
        <v>4</v>
      </c>
      <c r="F1034">
        <v>0.76</v>
      </c>
      <c r="G1034">
        <v>33</v>
      </c>
      <c r="H1034">
        <v>54</v>
      </c>
      <c r="I1034">
        <v>4.7</v>
      </c>
      <c r="J1034">
        <v>15.1</v>
      </c>
      <c r="K1034" t="s">
        <v>1993</v>
      </c>
      <c r="L1034">
        <v>1</v>
      </c>
      <c r="M1034">
        <v>1</v>
      </c>
      <c r="N1034" s="1">
        <f t="shared" si="32"/>
        <v>0</v>
      </c>
      <c r="O1034" s="1">
        <f t="shared" si="33"/>
        <v>1</v>
      </c>
    </row>
    <row r="1035" spans="1:15" x14ac:dyDescent="0.25">
      <c r="A1035" t="s">
        <v>2580</v>
      </c>
      <c r="B1035" t="s">
        <v>2581</v>
      </c>
      <c r="C1035" t="s">
        <v>2579</v>
      </c>
      <c r="D1035">
        <v>0.36</v>
      </c>
      <c r="E1035">
        <v>3.99</v>
      </c>
      <c r="F1035">
        <v>0.73</v>
      </c>
      <c r="G1035">
        <v>33</v>
      </c>
      <c r="H1035">
        <v>54</v>
      </c>
      <c r="I1035">
        <v>4.7</v>
      </c>
      <c r="J1035">
        <v>15.1</v>
      </c>
      <c r="K1035" t="s">
        <v>1993</v>
      </c>
      <c r="L1035">
        <v>1</v>
      </c>
      <c r="M1035">
        <v>1</v>
      </c>
      <c r="N1035" s="1">
        <f t="shared" si="32"/>
        <v>0</v>
      </c>
      <c r="O1035" s="1">
        <f t="shared" si="33"/>
        <v>1</v>
      </c>
    </row>
    <row r="1036" spans="1:15" x14ac:dyDescent="0.25">
      <c r="A1036" t="s">
        <v>2582</v>
      </c>
      <c r="B1036" t="s">
        <v>2236</v>
      </c>
      <c r="C1036" t="s">
        <v>1678</v>
      </c>
      <c r="D1036">
        <v>0.34</v>
      </c>
      <c r="E1036">
        <v>6.28</v>
      </c>
      <c r="F1036">
        <v>0.7</v>
      </c>
      <c r="G1036">
        <v>99.99</v>
      </c>
      <c r="H1036">
        <v>0</v>
      </c>
      <c r="I1036">
        <v>0</v>
      </c>
      <c r="J1036">
        <v>12.55</v>
      </c>
      <c r="K1036" t="s">
        <v>1993</v>
      </c>
      <c r="L1036">
        <v>1</v>
      </c>
      <c r="M1036">
        <v>1</v>
      </c>
      <c r="N1036" s="1">
        <f t="shared" si="32"/>
        <v>0</v>
      </c>
      <c r="O1036" s="1">
        <f t="shared" si="33"/>
        <v>1</v>
      </c>
    </row>
    <row r="1037" spans="1:15" x14ac:dyDescent="0.25">
      <c r="A1037" t="s">
        <v>2583</v>
      </c>
      <c r="B1037" t="s">
        <v>2584</v>
      </c>
      <c r="C1037" t="s">
        <v>2585</v>
      </c>
      <c r="D1037">
        <v>0.32</v>
      </c>
      <c r="E1037">
        <v>0.8</v>
      </c>
      <c r="F1037">
        <v>0.64</v>
      </c>
      <c r="G1037">
        <v>0</v>
      </c>
      <c r="H1037">
        <v>99.01</v>
      </c>
      <c r="I1037">
        <v>0.99</v>
      </c>
      <c r="J1037">
        <v>29.92</v>
      </c>
      <c r="K1037" t="s">
        <v>1993</v>
      </c>
      <c r="L1037">
        <v>1</v>
      </c>
      <c r="M1037">
        <v>1</v>
      </c>
      <c r="N1037" s="1">
        <f t="shared" si="32"/>
        <v>0</v>
      </c>
      <c r="O1037" s="1">
        <f t="shared" si="33"/>
        <v>1</v>
      </c>
    </row>
    <row r="1038" spans="1:15" x14ac:dyDescent="0.25">
      <c r="A1038" t="s">
        <v>2586</v>
      </c>
      <c r="B1038" t="s">
        <v>2587</v>
      </c>
      <c r="C1038" t="s">
        <v>2588</v>
      </c>
      <c r="D1038">
        <v>0.28000000000000003</v>
      </c>
      <c r="E1038">
        <v>-13.31</v>
      </c>
      <c r="F1038">
        <v>0.56999999999999995</v>
      </c>
      <c r="G1038">
        <v>100</v>
      </c>
      <c r="H1038">
        <v>0</v>
      </c>
      <c r="I1038">
        <v>0</v>
      </c>
      <c r="J1038">
        <v>30.94</v>
      </c>
      <c r="K1038" t="s">
        <v>1993</v>
      </c>
      <c r="L1038">
        <v>1</v>
      </c>
      <c r="M1038">
        <v>1</v>
      </c>
      <c r="N1038" s="1">
        <f t="shared" si="32"/>
        <v>0</v>
      </c>
      <c r="O1038" s="1">
        <f t="shared" si="33"/>
        <v>1</v>
      </c>
    </row>
    <row r="1039" spans="1:15" x14ac:dyDescent="0.25">
      <c r="A1039" t="s">
        <v>2589</v>
      </c>
      <c r="B1039" t="s">
        <v>2590</v>
      </c>
      <c r="D1039">
        <v>0.28000000000000003</v>
      </c>
      <c r="E1039">
        <v>0</v>
      </c>
      <c r="F1039">
        <v>0.56999999999999995</v>
      </c>
      <c r="G1039">
        <v>12.75</v>
      </c>
      <c r="H1039">
        <v>69.430000000000007</v>
      </c>
      <c r="I1039">
        <v>1.86</v>
      </c>
      <c r="J1039">
        <v>16.47</v>
      </c>
      <c r="K1039" t="s">
        <v>1993</v>
      </c>
      <c r="L1039">
        <v>1</v>
      </c>
      <c r="M1039">
        <v>1</v>
      </c>
      <c r="N1039" s="1">
        <f t="shared" si="32"/>
        <v>0</v>
      </c>
      <c r="O1039" s="1">
        <f t="shared" si="33"/>
        <v>1</v>
      </c>
    </row>
    <row r="1040" spans="1:15" x14ac:dyDescent="0.25">
      <c r="A1040" t="s">
        <v>2591</v>
      </c>
      <c r="B1040" t="s">
        <v>2592</v>
      </c>
      <c r="D1040">
        <v>0.27</v>
      </c>
      <c r="E1040">
        <v>0</v>
      </c>
      <c r="F1040">
        <v>0.54</v>
      </c>
      <c r="G1040">
        <v>25</v>
      </c>
      <c r="H1040">
        <v>60</v>
      </c>
      <c r="I1040">
        <v>15</v>
      </c>
      <c r="J1040">
        <v>5</v>
      </c>
      <c r="K1040" t="s">
        <v>1993</v>
      </c>
      <c r="L1040">
        <v>1</v>
      </c>
      <c r="M1040">
        <v>1</v>
      </c>
      <c r="N1040" s="1">
        <f t="shared" si="32"/>
        <v>0</v>
      </c>
      <c r="O1040" s="1">
        <f t="shared" si="33"/>
        <v>1</v>
      </c>
    </row>
    <row r="1041" spans="1:15" x14ac:dyDescent="0.25">
      <c r="A1041" t="s">
        <v>2593</v>
      </c>
      <c r="B1041" t="s">
        <v>2594</v>
      </c>
      <c r="C1041" t="s">
        <v>2595</v>
      </c>
      <c r="D1041">
        <v>0.26</v>
      </c>
      <c r="E1041">
        <v>13.63</v>
      </c>
      <c r="F1041">
        <v>0.53</v>
      </c>
      <c r="G1041">
        <v>67.86</v>
      </c>
      <c r="H1041">
        <v>0</v>
      </c>
      <c r="I1041">
        <v>0</v>
      </c>
      <c r="J1041">
        <v>8.86</v>
      </c>
      <c r="K1041" t="s">
        <v>1993</v>
      </c>
      <c r="L1041">
        <v>1</v>
      </c>
      <c r="M1041">
        <v>1</v>
      </c>
      <c r="N1041" s="1">
        <f t="shared" si="32"/>
        <v>0</v>
      </c>
      <c r="O1041" s="1">
        <f t="shared" si="33"/>
        <v>1</v>
      </c>
    </row>
    <row r="1042" spans="1:15" x14ac:dyDescent="0.25">
      <c r="A1042" t="s">
        <v>2596</v>
      </c>
      <c r="B1042" t="s">
        <v>2597</v>
      </c>
      <c r="D1042">
        <v>0.25</v>
      </c>
      <c r="F1042">
        <v>0.5</v>
      </c>
      <c r="G1042">
        <v>0</v>
      </c>
      <c r="H1042">
        <v>91.91</v>
      </c>
      <c r="I1042">
        <v>8.09</v>
      </c>
      <c r="J1042">
        <v>21.03</v>
      </c>
      <c r="K1042" t="s">
        <v>1993</v>
      </c>
      <c r="L1042">
        <v>1</v>
      </c>
      <c r="M1042">
        <v>1</v>
      </c>
      <c r="N1042" s="1">
        <f t="shared" si="32"/>
        <v>0</v>
      </c>
      <c r="O1042" s="1">
        <f t="shared" si="33"/>
        <v>1</v>
      </c>
    </row>
    <row r="1043" spans="1:15" x14ac:dyDescent="0.25">
      <c r="A1043" t="s">
        <v>2598</v>
      </c>
      <c r="B1043" t="s">
        <v>2599</v>
      </c>
      <c r="C1043" t="s">
        <v>2600</v>
      </c>
      <c r="D1043">
        <v>0.23</v>
      </c>
      <c r="E1043">
        <v>7.9</v>
      </c>
      <c r="F1043">
        <v>0.45</v>
      </c>
      <c r="G1043">
        <v>66</v>
      </c>
      <c r="H1043">
        <v>0</v>
      </c>
      <c r="I1043">
        <v>1</v>
      </c>
      <c r="J1043">
        <v>10</v>
      </c>
      <c r="K1043" t="s">
        <v>1993</v>
      </c>
      <c r="L1043">
        <v>1</v>
      </c>
      <c r="M1043">
        <v>1</v>
      </c>
      <c r="N1043" s="1">
        <f t="shared" si="32"/>
        <v>0</v>
      </c>
      <c r="O1043" s="1">
        <f t="shared" si="33"/>
        <v>1</v>
      </c>
    </row>
    <row r="1044" spans="1:15" x14ac:dyDescent="0.25">
      <c r="A1044" t="s">
        <v>2601</v>
      </c>
      <c r="B1044" t="s">
        <v>2602</v>
      </c>
      <c r="C1044" t="s">
        <v>2603</v>
      </c>
      <c r="D1044">
        <v>0.21</v>
      </c>
      <c r="E1044">
        <v>5.52</v>
      </c>
      <c r="F1044">
        <v>0.42</v>
      </c>
      <c r="G1044">
        <v>60</v>
      </c>
      <c r="H1044">
        <v>0</v>
      </c>
      <c r="I1044">
        <v>2</v>
      </c>
      <c r="J1044">
        <v>24</v>
      </c>
      <c r="K1044" t="s">
        <v>1993</v>
      </c>
      <c r="L1044">
        <v>1</v>
      </c>
      <c r="M1044">
        <v>1</v>
      </c>
      <c r="N1044" s="1">
        <f t="shared" si="32"/>
        <v>0</v>
      </c>
      <c r="O1044" s="1">
        <f t="shared" si="33"/>
        <v>1</v>
      </c>
    </row>
    <row r="1045" spans="1:15" x14ac:dyDescent="0.25">
      <c r="A1045" t="s">
        <v>2604</v>
      </c>
      <c r="B1045" t="s">
        <v>2605</v>
      </c>
      <c r="C1045" t="s">
        <v>2606</v>
      </c>
      <c r="D1045">
        <v>0.19</v>
      </c>
      <c r="E1045">
        <v>8.9</v>
      </c>
      <c r="F1045">
        <v>0.37</v>
      </c>
      <c r="G1045">
        <v>91.5</v>
      </c>
      <c r="H1045">
        <v>0</v>
      </c>
      <c r="I1045">
        <v>8.5</v>
      </c>
      <c r="J1045">
        <v>16</v>
      </c>
      <c r="K1045" t="s">
        <v>1993</v>
      </c>
      <c r="L1045">
        <v>1</v>
      </c>
      <c r="M1045">
        <v>1</v>
      </c>
      <c r="N1045" s="1">
        <f t="shared" si="32"/>
        <v>0</v>
      </c>
      <c r="O1045" s="1">
        <f t="shared" si="33"/>
        <v>1</v>
      </c>
    </row>
    <row r="1046" spans="1:15" x14ac:dyDescent="0.25">
      <c r="A1046" t="s">
        <v>2607</v>
      </c>
      <c r="B1046" t="s">
        <v>2608</v>
      </c>
      <c r="C1046" t="s">
        <v>669</v>
      </c>
      <c r="D1046">
        <v>0.17</v>
      </c>
      <c r="E1046">
        <v>1.78</v>
      </c>
      <c r="F1046">
        <v>0.35</v>
      </c>
      <c r="G1046">
        <v>0</v>
      </c>
      <c r="H1046">
        <v>80</v>
      </c>
      <c r="I1046">
        <v>1.5</v>
      </c>
      <c r="J1046">
        <v>38</v>
      </c>
      <c r="K1046" t="s">
        <v>1993</v>
      </c>
      <c r="L1046">
        <v>1</v>
      </c>
      <c r="M1046">
        <v>1</v>
      </c>
      <c r="N1046" s="1">
        <f t="shared" si="32"/>
        <v>0</v>
      </c>
      <c r="O1046" s="1">
        <f t="shared" si="33"/>
        <v>1</v>
      </c>
    </row>
    <row r="1047" spans="1:15" x14ac:dyDescent="0.25">
      <c r="A1047" t="s">
        <v>2609</v>
      </c>
      <c r="B1047" t="s">
        <v>2610</v>
      </c>
      <c r="C1047" t="s">
        <v>2611</v>
      </c>
      <c r="D1047">
        <v>0.16</v>
      </c>
      <c r="E1047">
        <v>3.83</v>
      </c>
      <c r="F1047">
        <v>0.33</v>
      </c>
      <c r="G1047">
        <v>36</v>
      </c>
      <c r="H1047">
        <v>63</v>
      </c>
      <c r="I1047">
        <v>1</v>
      </c>
      <c r="J1047">
        <v>28</v>
      </c>
      <c r="K1047" t="s">
        <v>1993</v>
      </c>
      <c r="L1047">
        <v>1</v>
      </c>
      <c r="M1047">
        <v>1</v>
      </c>
      <c r="N1047" s="1">
        <f t="shared" si="32"/>
        <v>0</v>
      </c>
      <c r="O1047" s="1">
        <f t="shared" si="33"/>
        <v>1</v>
      </c>
    </row>
    <row r="1048" spans="1:15" x14ac:dyDescent="0.25">
      <c r="A1048" t="s">
        <v>2612</v>
      </c>
      <c r="B1048" t="s">
        <v>2613</v>
      </c>
      <c r="C1048" t="s">
        <v>2614</v>
      </c>
      <c r="D1048">
        <v>0.15</v>
      </c>
      <c r="E1048">
        <v>3.05</v>
      </c>
      <c r="F1048">
        <v>0.3</v>
      </c>
      <c r="G1048">
        <v>14</v>
      </c>
      <c r="H1048">
        <v>78</v>
      </c>
      <c r="I1048">
        <v>3.5</v>
      </c>
      <c r="J1048">
        <v>35</v>
      </c>
      <c r="K1048" t="s">
        <v>1993</v>
      </c>
      <c r="L1048">
        <v>1</v>
      </c>
      <c r="M1048">
        <v>1</v>
      </c>
      <c r="N1048" s="1">
        <f t="shared" si="32"/>
        <v>0</v>
      </c>
      <c r="O1048" s="1">
        <f t="shared" si="33"/>
        <v>1</v>
      </c>
    </row>
    <row r="1049" spans="1:15" x14ac:dyDescent="0.25">
      <c r="A1049" t="s">
        <v>2615</v>
      </c>
      <c r="B1049" t="s">
        <v>2616</v>
      </c>
      <c r="C1049" t="s">
        <v>2617</v>
      </c>
      <c r="D1049">
        <v>0.13</v>
      </c>
      <c r="E1049">
        <v>4.45</v>
      </c>
      <c r="F1049">
        <v>0.27</v>
      </c>
      <c r="G1049">
        <v>25</v>
      </c>
      <c r="H1049">
        <v>48.35</v>
      </c>
      <c r="I1049">
        <v>1.65</v>
      </c>
      <c r="J1049">
        <v>11</v>
      </c>
      <c r="K1049" t="s">
        <v>1993</v>
      </c>
      <c r="L1049">
        <v>1</v>
      </c>
      <c r="M1049">
        <v>1</v>
      </c>
      <c r="N1049" s="1">
        <f t="shared" si="32"/>
        <v>0</v>
      </c>
      <c r="O1049" s="1">
        <f t="shared" si="33"/>
        <v>1</v>
      </c>
    </row>
    <row r="1050" spans="1:15" x14ac:dyDescent="0.25">
      <c r="A1050" t="s">
        <v>2618</v>
      </c>
      <c r="B1050" t="s">
        <v>2619</v>
      </c>
      <c r="D1050">
        <v>0.05</v>
      </c>
      <c r="F1050">
        <v>0.46</v>
      </c>
      <c r="G1050">
        <v>0</v>
      </c>
      <c r="H1050">
        <v>0</v>
      </c>
      <c r="I1050">
        <v>100</v>
      </c>
      <c r="J1050">
        <v>0</v>
      </c>
      <c r="K1050" t="s">
        <v>1993</v>
      </c>
      <c r="L1050">
        <v>1</v>
      </c>
      <c r="M1050">
        <v>1</v>
      </c>
      <c r="N1050" s="1">
        <f t="shared" si="32"/>
        <v>0</v>
      </c>
      <c r="O1050" s="1">
        <f t="shared" si="33"/>
        <v>1</v>
      </c>
    </row>
    <row r="1051" spans="1:15" x14ac:dyDescent="0.25">
      <c r="A1051" t="s">
        <v>2620</v>
      </c>
      <c r="B1051" t="s">
        <v>2621</v>
      </c>
      <c r="C1051" t="s">
        <v>1274</v>
      </c>
      <c r="D1051">
        <v>0.05</v>
      </c>
      <c r="E1051">
        <v>1.62</v>
      </c>
      <c r="F1051">
        <v>0.1</v>
      </c>
      <c r="G1051">
        <v>0</v>
      </c>
      <c r="H1051">
        <v>83.63</v>
      </c>
      <c r="I1051">
        <v>3.37</v>
      </c>
      <c r="J1051">
        <v>19.63</v>
      </c>
      <c r="K1051" t="s">
        <v>1993</v>
      </c>
      <c r="L1051">
        <v>1</v>
      </c>
      <c r="M1051">
        <v>1</v>
      </c>
      <c r="N1051" s="1">
        <f t="shared" si="32"/>
        <v>0</v>
      </c>
      <c r="O1051" s="1">
        <f t="shared" si="33"/>
        <v>1</v>
      </c>
    </row>
    <row r="1052" spans="1:15" x14ac:dyDescent="0.25">
      <c r="A1052" t="s">
        <v>2622</v>
      </c>
      <c r="B1052" t="s">
        <v>2623</v>
      </c>
      <c r="C1052" t="s">
        <v>2251</v>
      </c>
      <c r="D1052">
        <v>0</v>
      </c>
      <c r="E1052">
        <v>4.4800000000000004</v>
      </c>
      <c r="F1052">
        <v>0</v>
      </c>
      <c r="G1052">
        <v>0</v>
      </c>
      <c r="H1052">
        <v>0</v>
      </c>
      <c r="I1052">
        <v>100</v>
      </c>
      <c r="J1052">
        <v>0</v>
      </c>
      <c r="K1052" t="s">
        <v>1993</v>
      </c>
      <c r="L1052">
        <v>1</v>
      </c>
      <c r="M1052">
        <v>1</v>
      </c>
      <c r="N1052" s="1">
        <f t="shared" si="32"/>
        <v>0</v>
      </c>
      <c r="O1052" s="1">
        <f t="shared" si="33"/>
        <v>1</v>
      </c>
    </row>
    <row r="1053" spans="1:15" x14ac:dyDescent="0.25">
      <c r="A1053" t="s">
        <v>2624</v>
      </c>
      <c r="B1053" t="s">
        <v>2625</v>
      </c>
      <c r="C1053" t="s">
        <v>2251</v>
      </c>
      <c r="D1053">
        <v>0</v>
      </c>
      <c r="E1053">
        <v>4.49</v>
      </c>
      <c r="F1053">
        <v>0</v>
      </c>
      <c r="G1053">
        <v>0</v>
      </c>
      <c r="H1053">
        <v>0</v>
      </c>
      <c r="I1053">
        <v>100</v>
      </c>
      <c r="J1053">
        <v>0</v>
      </c>
      <c r="K1053" t="s">
        <v>1993</v>
      </c>
      <c r="L1053">
        <v>1</v>
      </c>
      <c r="M1053">
        <v>1</v>
      </c>
      <c r="N1053" s="1">
        <f t="shared" si="32"/>
        <v>0</v>
      </c>
      <c r="O1053" s="1">
        <f t="shared" si="33"/>
        <v>1</v>
      </c>
    </row>
    <row r="1054" spans="1:15" x14ac:dyDescent="0.25">
      <c r="A1054" t="s">
        <v>2626</v>
      </c>
      <c r="B1054" t="s">
        <v>2627</v>
      </c>
      <c r="C1054" t="s">
        <v>2251</v>
      </c>
      <c r="D1054">
        <v>0</v>
      </c>
      <c r="E1054">
        <v>4.49</v>
      </c>
      <c r="F1054">
        <v>0</v>
      </c>
      <c r="G1054">
        <v>0</v>
      </c>
      <c r="H1054">
        <v>0</v>
      </c>
      <c r="I1054">
        <v>100</v>
      </c>
      <c r="J1054">
        <v>0</v>
      </c>
      <c r="K1054" t="s">
        <v>1993</v>
      </c>
      <c r="L1054">
        <v>1</v>
      </c>
      <c r="M1054">
        <v>1</v>
      </c>
      <c r="N1054" s="1">
        <f t="shared" si="32"/>
        <v>0</v>
      </c>
      <c r="O1054" s="1">
        <f t="shared" si="33"/>
        <v>1</v>
      </c>
    </row>
    <row r="1055" spans="1:15" x14ac:dyDescent="0.25">
      <c r="A1055" t="s">
        <v>2628</v>
      </c>
      <c r="B1055" t="s">
        <v>2629</v>
      </c>
      <c r="C1055" t="s">
        <v>368</v>
      </c>
      <c r="D1055">
        <v>0</v>
      </c>
      <c r="E1055">
        <v>2.71</v>
      </c>
      <c r="F1055">
        <v>0</v>
      </c>
      <c r="G1055">
        <v>0</v>
      </c>
      <c r="H1055">
        <v>0</v>
      </c>
      <c r="I1055">
        <v>100</v>
      </c>
      <c r="J1055">
        <v>0</v>
      </c>
      <c r="K1055" t="s">
        <v>1993</v>
      </c>
      <c r="L1055">
        <v>1</v>
      </c>
      <c r="M1055">
        <v>1</v>
      </c>
      <c r="N1055" s="1">
        <f t="shared" si="32"/>
        <v>0</v>
      </c>
      <c r="O1055" s="1">
        <f t="shared" si="33"/>
        <v>1</v>
      </c>
    </row>
    <row r="1056" spans="1:15" x14ac:dyDescent="0.25">
      <c r="A1056" t="s">
        <v>2630</v>
      </c>
      <c r="B1056" t="s">
        <v>2631</v>
      </c>
      <c r="C1056" t="s">
        <v>2251</v>
      </c>
      <c r="D1056">
        <v>0</v>
      </c>
      <c r="E1056">
        <v>4.5</v>
      </c>
      <c r="F1056">
        <v>0</v>
      </c>
      <c r="G1056">
        <v>0</v>
      </c>
      <c r="H1056">
        <v>0</v>
      </c>
      <c r="I1056">
        <v>100</v>
      </c>
      <c r="J1056">
        <v>0</v>
      </c>
      <c r="K1056" t="s">
        <v>1993</v>
      </c>
      <c r="L1056">
        <v>1</v>
      </c>
      <c r="M1056">
        <v>1</v>
      </c>
      <c r="N1056" s="1">
        <f t="shared" si="32"/>
        <v>0</v>
      </c>
      <c r="O1056" s="1">
        <f t="shared" si="33"/>
        <v>1</v>
      </c>
    </row>
    <row r="1057" spans="1:15" x14ac:dyDescent="0.25">
      <c r="A1057" t="s">
        <v>2632</v>
      </c>
      <c r="B1057" t="s">
        <v>2633</v>
      </c>
      <c r="C1057" t="s">
        <v>2634</v>
      </c>
      <c r="D1057">
        <v>-0.01</v>
      </c>
      <c r="E1057">
        <v>2.4</v>
      </c>
      <c r="F1057">
        <v>-0.03</v>
      </c>
      <c r="G1057">
        <v>21</v>
      </c>
      <c r="H1057">
        <v>64</v>
      </c>
      <c r="I1057">
        <v>5.5</v>
      </c>
      <c r="J1057">
        <v>14</v>
      </c>
      <c r="K1057" t="s">
        <v>1993</v>
      </c>
      <c r="L1057">
        <v>1</v>
      </c>
      <c r="M1057">
        <v>1</v>
      </c>
      <c r="N1057" s="1">
        <f t="shared" si="32"/>
        <v>0</v>
      </c>
      <c r="O1057" s="1">
        <f t="shared" si="33"/>
        <v>1</v>
      </c>
    </row>
    <row r="1058" spans="1:15" x14ac:dyDescent="0.25">
      <c r="A1058" t="s">
        <v>2635</v>
      </c>
      <c r="B1058" t="s">
        <v>2636</v>
      </c>
      <c r="C1058" t="s">
        <v>2637</v>
      </c>
      <c r="D1058">
        <v>-0.02</v>
      </c>
      <c r="E1058">
        <v>3.55</v>
      </c>
      <c r="F1058">
        <v>-0.04</v>
      </c>
      <c r="G1058">
        <v>22.5</v>
      </c>
      <c r="H1058">
        <v>59.5</v>
      </c>
      <c r="I1058">
        <v>5.5</v>
      </c>
      <c r="J1058">
        <v>17</v>
      </c>
      <c r="K1058" t="s">
        <v>1993</v>
      </c>
      <c r="L1058">
        <v>1</v>
      </c>
      <c r="M1058">
        <v>1</v>
      </c>
      <c r="N1058" s="1">
        <f t="shared" si="32"/>
        <v>0</v>
      </c>
      <c r="O1058" s="1">
        <f t="shared" si="33"/>
        <v>1</v>
      </c>
    </row>
    <row r="1059" spans="1:15" x14ac:dyDescent="0.25">
      <c r="A1059" t="s">
        <v>2638</v>
      </c>
      <c r="B1059" t="s">
        <v>2639</v>
      </c>
      <c r="C1059" t="s">
        <v>2637</v>
      </c>
      <c r="D1059">
        <v>-0.02</v>
      </c>
      <c r="E1059">
        <v>3.55</v>
      </c>
      <c r="F1059">
        <v>-0.04</v>
      </c>
      <c r="G1059">
        <v>22.5</v>
      </c>
      <c r="H1059">
        <v>59.5</v>
      </c>
      <c r="I1059">
        <v>5.5</v>
      </c>
      <c r="J1059">
        <v>17</v>
      </c>
      <c r="K1059" t="s">
        <v>1993</v>
      </c>
      <c r="L1059">
        <v>1</v>
      </c>
      <c r="M1059">
        <v>1</v>
      </c>
      <c r="N1059" s="1">
        <f t="shared" si="32"/>
        <v>0</v>
      </c>
      <c r="O1059" s="1">
        <f t="shared" si="33"/>
        <v>1</v>
      </c>
    </row>
    <row r="1060" spans="1:15" x14ac:dyDescent="0.25">
      <c r="A1060" t="s">
        <v>2640</v>
      </c>
      <c r="B1060" t="s">
        <v>2641</v>
      </c>
      <c r="C1060" t="s">
        <v>2642</v>
      </c>
      <c r="D1060">
        <v>-0.04</v>
      </c>
      <c r="E1060">
        <v>6.62</v>
      </c>
      <c r="F1060">
        <v>-0.09</v>
      </c>
      <c r="G1060">
        <v>70</v>
      </c>
      <c r="H1060">
        <v>10</v>
      </c>
      <c r="I1060">
        <v>0.5</v>
      </c>
      <c r="J1060">
        <v>38.5</v>
      </c>
      <c r="K1060" t="s">
        <v>1993</v>
      </c>
      <c r="L1060">
        <v>1</v>
      </c>
      <c r="M1060">
        <v>1</v>
      </c>
      <c r="N1060" s="1">
        <f t="shared" si="32"/>
        <v>0</v>
      </c>
      <c r="O1060" s="1">
        <f t="shared" si="33"/>
        <v>1</v>
      </c>
    </row>
    <row r="1061" spans="1:15" x14ac:dyDescent="0.25">
      <c r="A1061" t="s">
        <v>2643</v>
      </c>
      <c r="B1061" t="s">
        <v>2644</v>
      </c>
      <c r="C1061" t="s">
        <v>2645</v>
      </c>
      <c r="D1061">
        <v>-0.06</v>
      </c>
      <c r="E1061">
        <v>7.98</v>
      </c>
      <c r="F1061">
        <v>-0.12</v>
      </c>
      <c r="G1061">
        <v>48.5</v>
      </c>
      <c r="H1061">
        <v>0</v>
      </c>
      <c r="I1061">
        <v>3</v>
      </c>
      <c r="J1061">
        <v>38</v>
      </c>
      <c r="K1061" t="s">
        <v>1993</v>
      </c>
      <c r="L1061">
        <v>1</v>
      </c>
      <c r="M1061">
        <v>1</v>
      </c>
      <c r="N1061" s="1">
        <f t="shared" si="32"/>
        <v>0</v>
      </c>
      <c r="O1061" s="1">
        <f t="shared" si="33"/>
        <v>1</v>
      </c>
    </row>
    <row r="1062" spans="1:15" x14ac:dyDescent="0.25">
      <c r="A1062" t="s">
        <v>2646</v>
      </c>
      <c r="B1062" t="s">
        <v>2647</v>
      </c>
      <c r="C1062" t="s">
        <v>2637</v>
      </c>
      <c r="D1062">
        <v>-0.14000000000000001</v>
      </c>
      <c r="E1062">
        <v>3.55</v>
      </c>
      <c r="F1062">
        <v>-0.28999999999999998</v>
      </c>
      <c r="G1062">
        <v>22.5</v>
      </c>
      <c r="H1062">
        <v>59.5</v>
      </c>
      <c r="I1062">
        <v>5.5</v>
      </c>
      <c r="J1062">
        <v>17</v>
      </c>
      <c r="K1062" t="s">
        <v>1993</v>
      </c>
      <c r="L1062">
        <v>1</v>
      </c>
      <c r="M1062">
        <v>1</v>
      </c>
      <c r="N1062" s="1">
        <f t="shared" si="32"/>
        <v>0</v>
      </c>
      <c r="O1062" s="1">
        <f t="shared" si="33"/>
        <v>1</v>
      </c>
    </row>
    <row r="1063" spans="1:15" x14ac:dyDescent="0.25">
      <c r="A1063" t="s">
        <v>2648</v>
      </c>
      <c r="B1063" t="s">
        <v>2649</v>
      </c>
      <c r="C1063" t="s">
        <v>2650</v>
      </c>
      <c r="D1063">
        <v>-0.17</v>
      </c>
      <c r="E1063">
        <v>5.33</v>
      </c>
      <c r="F1063">
        <v>-0.34</v>
      </c>
      <c r="G1063">
        <v>18</v>
      </c>
      <c r="H1063">
        <v>69</v>
      </c>
      <c r="I1063">
        <v>1</v>
      </c>
      <c r="J1063">
        <v>1</v>
      </c>
      <c r="K1063" t="s">
        <v>1993</v>
      </c>
      <c r="L1063">
        <v>1</v>
      </c>
      <c r="M1063">
        <v>1</v>
      </c>
      <c r="N1063" s="1">
        <f t="shared" si="32"/>
        <v>0</v>
      </c>
      <c r="O1063" s="1">
        <f t="shared" si="33"/>
        <v>1</v>
      </c>
    </row>
    <row r="1064" spans="1:15" x14ac:dyDescent="0.25">
      <c r="A1064" t="s">
        <v>2651</v>
      </c>
      <c r="B1064" t="s">
        <v>2652</v>
      </c>
      <c r="D1064">
        <v>-0.22</v>
      </c>
      <c r="E1064">
        <v>0</v>
      </c>
      <c r="F1064">
        <v>-0.45</v>
      </c>
      <c r="G1064">
        <v>16.8</v>
      </c>
      <c r="H1064">
        <v>69</v>
      </c>
      <c r="I1064">
        <v>5.7</v>
      </c>
      <c r="J1064">
        <v>14.1</v>
      </c>
      <c r="K1064" t="s">
        <v>1993</v>
      </c>
      <c r="L1064">
        <v>1</v>
      </c>
      <c r="M1064">
        <v>1</v>
      </c>
      <c r="N1064" s="1">
        <f t="shared" si="32"/>
        <v>0</v>
      </c>
      <c r="O1064" s="1">
        <f t="shared" si="33"/>
        <v>1</v>
      </c>
    </row>
    <row r="1065" spans="1:15" x14ac:dyDescent="0.25">
      <c r="A1065" t="s">
        <v>2653</v>
      </c>
      <c r="B1065" t="s">
        <v>2654</v>
      </c>
      <c r="C1065" t="s">
        <v>2655</v>
      </c>
      <c r="D1065">
        <v>-0.25</v>
      </c>
      <c r="E1065">
        <v>1.1200000000000001</v>
      </c>
      <c r="F1065">
        <v>-0.5</v>
      </c>
      <c r="G1065">
        <v>2.75</v>
      </c>
      <c r="H1065">
        <v>90.47</v>
      </c>
      <c r="I1065">
        <v>1.96</v>
      </c>
      <c r="J1065">
        <v>28.17</v>
      </c>
      <c r="K1065" t="s">
        <v>1993</v>
      </c>
      <c r="L1065">
        <v>1</v>
      </c>
      <c r="M1065">
        <v>1</v>
      </c>
      <c r="N1065" s="1">
        <f t="shared" si="32"/>
        <v>0</v>
      </c>
      <c r="O1065" s="1">
        <f t="shared" si="33"/>
        <v>1</v>
      </c>
    </row>
    <row r="1066" spans="1:15" x14ac:dyDescent="0.25">
      <c r="A1066" t="s">
        <v>2656</v>
      </c>
      <c r="B1066" t="s">
        <v>2657</v>
      </c>
      <c r="C1066" t="s">
        <v>1845</v>
      </c>
      <c r="D1066">
        <v>-0.25</v>
      </c>
      <c r="E1066">
        <v>8.91</v>
      </c>
      <c r="F1066">
        <v>-0.51</v>
      </c>
      <c r="G1066">
        <v>80</v>
      </c>
      <c r="H1066">
        <v>8</v>
      </c>
      <c r="I1066">
        <v>2</v>
      </c>
      <c r="J1066">
        <v>34</v>
      </c>
      <c r="K1066" t="s">
        <v>1993</v>
      </c>
      <c r="L1066">
        <v>1</v>
      </c>
      <c r="M1066">
        <v>1</v>
      </c>
      <c r="N1066" s="1">
        <f t="shared" si="32"/>
        <v>0</v>
      </c>
      <c r="O1066" s="1">
        <f t="shared" si="33"/>
        <v>1</v>
      </c>
    </row>
    <row r="1067" spans="1:15" x14ac:dyDescent="0.25">
      <c r="A1067" t="s">
        <v>2658</v>
      </c>
      <c r="B1067" t="s">
        <v>2659</v>
      </c>
      <c r="C1067" t="s">
        <v>2660</v>
      </c>
      <c r="D1067">
        <v>-0.26</v>
      </c>
      <c r="E1067">
        <v>2.7</v>
      </c>
      <c r="F1067">
        <v>-0.52</v>
      </c>
      <c r="G1067">
        <v>16</v>
      </c>
      <c r="H1067">
        <v>80</v>
      </c>
      <c r="I1067">
        <v>1</v>
      </c>
      <c r="J1067">
        <v>13</v>
      </c>
      <c r="K1067" t="s">
        <v>1993</v>
      </c>
      <c r="L1067">
        <v>1</v>
      </c>
      <c r="M1067">
        <v>1</v>
      </c>
      <c r="N1067" s="1">
        <f t="shared" si="32"/>
        <v>0</v>
      </c>
      <c r="O1067" s="1">
        <f t="shared" si="33"/>
        <v>1</v>
      </c>
    </row>
    <row r="1068" spans="1:15" x14ac:dyDescent="0.25">
      <c r="A1068" t="s">
        <v>2661</v>
      </c>
      <c r="B1068" t="s">
        <v>2662</v>
      </c>
      <c r="C1068" t="s">
        <v>2663</v>
      </c>
      <c r="D1068">
        <v>-0.28999999999999998</v>
      </c>
      <c r="E1068">
        <v>0.77</v>
      </c>
      <c r="F1068">
        <v>-0.57999999999999996</v>
      </c>
      <c r="G1068">
        <v>7.4</v>
      </c>
      <c r="H1068">
        <v>88.5</v>
      </c>
      <c r="I1068">
        <v>1</v>
      </c>
      <c r="J1068">
        <v>23.9</v>
      </c>
      <c r="K1068" t="s">
        <v>1993</v>
      </c>
      <c r="L1068">
        <v>1</v>
      </c>
      <c r="M1068">
        <v>1</v>
      </c>
      <c r="N1068" s="1">
        <f t="shared" si="32"/>
        <v>0</v>
      </c>
      <c r="O1068" s="1">
        <f t="shared" si="33"/>
        <v>1</v>
      </c>
    </row>
    <row r="1069" spans="1:15" x14ac:dyDescent="0.25">
      <c r="A1069" t="s">
        <v>2664</v>
      </c>
      <c r="B1069" t="s">
        <v>2665</v>
      </c>
      <c r="C1069" t="s">
        <v>892</v>
      </c>
      <c r="D1069">
        <v>-0.3</v>
      </c>
      <c r="E1069">
        <v>2.57</v>
      </c>
      <c r="F1069">
        <v>-0.6</v>
      </c>
      <c r="G1069">
        <v>3.51</v>
      </c>
      <c r="H1069">
        <v>82.19</v>
      </c>
      <c r="I1069">
        <v>2.41</v>
      </c>
      <c r="J1069">
        <v>18.54</v>
      </c>
      <c r="K1069" t="s">
        <v>1993</v>
      </c>
      <c r="L1069">
        <v>1</v>
      </c>
      <c r="M1069">
        <v>1</v>
      </c>
      <c r="N1069" s="1">
        <f t="shared" si="32"/>
        <v>0</v>
      </c>
      <c r="O1069" s="1">
        <f t="shared" si="33"/>
        <v>1</v>
      </c>
    </row>
    <row r="1070" spans="1:15" x14ac:dyDescent="0.25">
      <c r="A1070" t="s">
        <v>2666</v>
      </c>
      <c r="B1070" t="s">
        <v>2667</v>
      </c>
      <c r="D1070">
        <v>-0.32</v>
      </c>
      <c r="E1070">
        <v>0</v>
      </c>
      <c r="F1070">
        <v>-0.64</v>
      </c>
      <c r="G1070">
        <v>3.86</v>
      </c>
      <c r="H1070">
        <v>92.27</v>
      </c>
      <c r="I1070">
        <v>0.98</v>
      </c>
      <c r="J1070">
        <v>70.959999999999994</v>
      </c>
      <c r="K1070" t="s">
        <v>1993</v>
      </c>
      <c r="L1070">
        <v>1</v>
      </c>
      <c r="M1070">
        <v>1</v>
      </c>
      <c r="N1070" s="1">
        <f t="shared" si="32"/>
        <v>0</v>
      </c>
      <c r="O1070" s="1">
        <f t="shared" si="33"/>
        <v>1</v>
      </c>
    </row>
    <row r="1071" spans="1:15" x14ac:dyDescent="0.25">
      <c r="A1071" t="s">
        <v>2668</v>
      </c>
      <c r="B1071" t="s">
        <v>2669</v>
      </c>
      <c r="C1071" t="s">
        <v>2637</v>
      </c>
      <c r="D1071">
        <v>-0.33</v>
      </c>
      <c r="E1071">
        <v>3.56</v>
      </c>
      <c r="F1071">
        <v>-0.67</v>
      </c>
      <c r="G1071">
        <v>22.5</v>
      </c>
      <c r="H1071">
        <v>59.5</v>
      </c>
      <c r="I1071">
        <v>5.5</v>
      </c>
      <c r="J1071">
        <v>17</v>
      </c>
      <c r="K1071" t="s">
        <v>1993</v>
      </c>
      <c r="L1071">
        <v>1</v>
      </c>
      <c r="M1071">
        <v>1</v>
      </c>
      <c r="N1071" s="1">
        <f t="shared" si="32"/>
        <v>0</v>
      </c>
      <c r="O1071" s="1">
        <f t="shared" si="33"/>
        <v>1</v>
      </c>
    </row>
    <row r="1072" spans="1:15" x14ac:dyDescent="0.25">
      <c r="A1072" t="s">
        <v>2670</v>
      </c>
      <c r="B1072" t="s">
        <v>2671</v>
      </c>
      <c r="C1072" t="s">
        <v>2672</v>
      </c>
      <c r="D1072">
        <v>-0.33</v>
      </c>
      <c r="E1072">
        <v>2.66</v>
      </c>
      <c r="F1072">
        <v>-0.67</v>
      </c>
      <c r="G1072">
        <v>14</v>
      </c>
      <c r="H1072">
        <v>69.2</v>
      </c>
      <c r="I1072">
        <v>7.4</v>
      </c>
      <c r="J1072">
        <v>17.75</v>
      </c>
      <c r="K1072" t="s">
        <v>1993</v>
      </c>
      <c r="L1072">
        <v>1</v>
      </c>
      <c r="M1072">
        <v>1</v>
      </c>
      <c r="N1072" s="1">
        <f t="shared" si="32"/>
        <v>0</v>
      </c>
      <c r="O1072" s="1">
        <f t="shared" si="33"/>
        <v>1</v>
      </c>
    </row>
    <row r="1073" spans="1:15" x14ac:dyDescent="0.25">
      <c r="A1073" t="s">
        <v>2673</v>
      </c>
      <c r="B1073" t="s">
        <v>2674</v>
      </c>
      <c r="C1073" t="s">
        <v>2675</v>
      </c>
      <c r="D1073">
        <v>-0.37</v>
      </c>
      <c r="E1073">
        <v>2.2799999999999998</v>
      </c>
      <c r="F1073">
        <v>-0.75</v>
      </c>
      <c r="G1073">
        <v>15.7</v>
      </c>
      <c r="H1073">
        <v>65</v>
      </c>
      <c r="I1073">
        <v>0.8</v>
      </c>
      <c r="J1073">
        <v>39.700000000000003</v>
      </c>
      <c r="K1073" t="s">
        <v>1993</v>
      </c>
      <c r="L1073">
        <v>1</v>
      </c>
      <c r="M1073">
        <v>1</v>
      </c>
      <c r="N1073" s="1">
        <f t="shared" si="32"/>
        <v>0</v>
      </c>
      <c r="O1073" s="1">
        <f t="shared" si="33"/>
        <v>1</v>
      </c>
    </row>
    <row r="1074" spans="1:15" x14ac:dyDescent="0.25">
      <c r="A1074" t="s">
        <v>2676</v>
      </c>
      <c r="B1074" t="s">
        <v>2677</v>
      </c>
      <c r="C1074" t="s">
        <v>2678</v>
      </c>
      <c r="D1074">
        <v>-0.43</v>
      </c>
      <c r="E1074">
        <v>0.05</v>
      </c>
      <c r="F1074">
        <v>-0.87</v>
      </c>
      <c r="G1074">
        <v>11.17</v>
      </c>
      <c r="H1074">
        <v>65.099999999999994</v>
      </c>
      <c r="I1074">
        <v>15.23</v>
      </c>
      <c r="J1074">
        <v>15.92</v>
      </c>
      <c r="K1074" t="s">
        <v>1993</v>
      </c>
      <c r="L1074">
        <v>1</v>
      </c>
      <c r="M1074">
        <v>1</v>
      </c>
      <c r="N1074" s="1">
        <f t="shared" si="32"/>
        <v>0</v>
      </c>
      <c r="O1074" s="1">
        <f t="shared" si="33"/>
        <v>1</v>
      </c>
    </row>
    <row r="1075" spans="1:15" x14ac:dyDescent="0.25">
      <c r="A1075" t="s">
        <v>2679</v>
      </c>
      <c r="B1075" t="s">
        <v>2680</v>
      </c>
      <c r="C1075" t="s">
        <v>2681</v>
      </c>
      <c r="D1075">
        <v>-0.47</v>
      </c>
      <c r="E1075">
        <v>1.1200000000000001</v>
      </c>
      <c r="F1075">
        <v>-0.94</v>
      </c>
      <c r="G1075">
        <v>5.8</v>
      </c>
      <c r="H1075">
        <v>88.5</v>
      </c>
      <c r="I1075">
        <v>2.6</v>
      </c>
      <c r="J1075">
        <v>24.5</v>
      </c>
      <c r="K1075" t="s">
        <v>1993</v>
      </c>
      <c r="L1075">
        <v>1</v>
      </c>
      <c r="M1075">
        <v>1</v>
      </c>
      <c r="N1075" s="1">
        <f t="shared" si="32"/>
        <v>0</v>
      </c>
      <c r="O1075" s="1">
        <f t="shared" si="33"/>
        <v>1</v>
      </c>
    </row>
    <row r="1076" spans="1:15" x14ac:dyDescent="0.25">
      <c r="A1076" t="s">
        <v>2682</v>
      </c>
      <c r="B1076" t="s">
        <v>2683</v>
      </c>
      <c r="C1076" t="s">
        <v>2684</v>
      </c>
      <c r="D1076">
        <v>-0.53</v>
      </c>
      <c r="E1076">
        <v>3.18</v>
      </c>
      <c r="F1076">
        <v>-1.06</v>
      </c>
      <c r="G1076">
        <v>12</v>
      </c>
      <c r="H1076">
        <v>54</v>
      </c>
      <c r="I1076">
        <v>2</v>
      </c>
      <c r="J1076">
        <v>3</v>
      </c>
      <c r="K1076" t="s">
        <v>1993</v>
      </c>
      <c r="L1076">
        <v>1</v>
      </c>
      <c r="M1076">
        <v>1</v>
      </c>
      <c r="N1076" s="1">
        <f t="shared" si="32"/>
        <v>0</v>
      </c>
      <c r="O1076" s="1">
        <f t="shared" si="33"/>
        <v>1</v>
      </c>
    </row>
    <row r="1077" spans="1:15" x14ac:dyDescent="0.25">
      <c r="A1077" t="s">
        <v>2685</v>
      </c>
      <c r="B1077" t="s">
        <v>2686</v>
      </c>
      <c r="C1077" t="s">
        <v>2449</v>
      </c>
      <c r="D1077">
        <v>-0.57999999999999996</v>
      </c>
      <c r="F1077">
        <v>-1.45</v>
      </c>
      <c r="G1077">
        <v>16.3</v>
      </c>
      <c r="H1077">
        <v>65</v>
      </c>
      <c r="I1077">
        <v>9.1999999999999993</v>
      </c>
      <c r="J1077">
        <v>12.8</v>
      </c>
      <c r="K1077" t="s">
        <v>1993</v>
      </c>
      <c r="L1077">
        <v>1</v>
      </c>
      <c r="M1077">
        <v>1</v>
      </c>
      <c r="N1077" s="1">
        <f t="shared" si="32"/>
        <v>0</v>
      </c>
      <c r="O1077" s="1">
        <f t="shared" si="33"/>
        <v>1</v>
      </c>
    </row>
    <row r="1078" spans="1:15" x14ac:dyDescent="0.25">
      <c r="A1078" t="s">
        <v>2687</v>
      </c>
      <c r="B1078" t="s">
        <v>2688</v>
      </c>
      <c r="C1078" t="s">
        <v>2689</v>
      </c>
      <c r="D1078">
        <v>-0.57999999999999996</v>
      </c>
      <c r="E1078">
        <v>4.41</v>
      </c>
      <c r="F1078">
        <v>-1.17</v>
      </c>
      <c r="G1078">
        <v>25</v>
      </c>
      <c r="H1078">
        <v>49.4</v>
      </c>
      <c r="I1078">
        <v>1</v>
      </c>
      <c r="J1078">
        <v>60</v>
      </c>
      <c r="K1078" t="s">
        <v>1993</v>
      </c>
      <c r="L1078">
        <v>1</v>
      </c>
      <c r="M1078">
        <v>1</v>
      </c>
      <c r="N1078" s="1">
        <f t="shared" si="32"/>
        <v>0</v>
      </c>
      <c r="O1078" s="1">
        <f t="shared" si="33"/>
        <v>1</v>
      </c>
    </row>
    <row r="1079" spans="1:15" x14ac:dyDescent="0.25">
      <c r="A1079" t="s">
        <v>2690</v>
      </c>
      <c r="B1079" t="s">
        <v>2691</v>
      </c>
      <c r="C1079" t="s">
        <v>24</v>
      </c>
      <c r="D1079">
        <v>-0.59</v>
      </c>
      <c r="E1079">
        <v>8.4700000000000006</v>
      </c>
      <c r="F1079">
        <v>-1.18</v>
      </c>
      <c r="G1079">
        <v>85</v>
      </c>
      <c r="H1079">
        <v>0</v>
      </c>
      <c r="I1079">
        <v>5</v>
      </c>
      <c r="J1079">
        <v>35</v>
      </c>
      <c r="K1079" t="s">
        <v>1993</v>
      </c>
      <c r="L1079">
        <v>1</v>
      </c>
      <c r="M1079">
        <v>1</v>
      </c>
      <c r="N1079" s="1">
        <f t="shared" si="32"/>
        <v>0</v>
      </c>
      <c r="O1079" s="1">
        <f t="shared" si="33"/>
        <v>1</v>
      </c>
    </row>
    <row r="1080" spans="1:15" x14ac:dyDescent="0.25">
      <c r="A1080" t="s">
        <v>2692</v>
      </c>
      <c r="B1080" t="s">
        <v>2693</v>
      </c>
      <c r="C1080" t="s">
        <v>2689</v>
      </c>
      <c r="D1080">
        <v>-0.65</v>
      </c>
      <c r="E1080">
        <v>4.41</v>
      </c>
      <c r="F1080">
        <v>-1.31</v>
      </c>
      <c r="G1080">
        <v>17.600000000000001</v>
      </c>
      <c r="H1080">
        <v>48</v>
      </c>
      <c r="I1080">
        <v>2.4</v>
      </c>
      <c r="J1080">
        <v>13</v>
      </c>
      <c r="K1080" t="s">
        <v>1993</v>
      </c>
      <c r="L1080">
        <v>1</v>
      </c>
      <c r="M1080">
        <v>1</v>
      </c>
      <c r="N1080" s="1">
        <f t="shared" si="32"/>
        <v>0</v>
      </c>
      <c r="O1080" s="1">
        <f t="shared" si="33"/>
        <v>1</v>
      </c>
    </row>
    <row r="1081" spans="1:15" x14ac:dyDescent="0.25">
      <c r="A1081" t="s">
        <v>2694</v>
      </c>
      <c r="B1081" t="s">
        <v>2695</v>
      </c>
      <c r="C1081" t="s">
        <v>2634</v>
      </c>
      <c r="D1081">
        <v>-0.7</v>
      </c>
      <c r="E1081">
        <v>2.42</v>
      </c>
      <c r="F1081">
        <v>-1.41</v>
      </c>
      <c r="G1081">
        <v>19.3</v>
      </c>
      <c r="H1081">
        <v>64</v>
      </c>
      <c r="I1081">
        <v>7.2</v>
      </c>
      <c r="J1081">
        <v>14.8</v>
      </c>
      <c r="K1081" t="s">
        <v>1993</v>
      </c>
      <c r="L1081">
        <v>1</v>
      </c>
      <c r="M1081">
        <v>1</v>
      </c>
      <c r="N1081" s="1">
        <f t="shared" si="32"/>
        <v>0</v>
      </c>
      <c r="O1081" s="1">
        <f t="shared" si="33"/>
        <v>1</v>
      </c>
    </row>
    <row r="1082" spans="1:15" x14ac:dyDescent="0.25">
      <c r="A1082" t="s">
        <v>2696</v>
      </c>
      <c r="B1082" t="s">
        <v>2697</v>
      </c>
      <c r="C1082" t="s">
        <v>2698</v>
      </c>
      <c r="D1082">
        <v>-0.72</v>
      </c>
      <c r="E1082">
        <v>5.4</v>
      </c>
      <c r="F1082">
        <v>-1.45</v>
      </c>
      <c r="G1082">
        <v>46.97</v>
      </c>
      <c r="H1082">
        <v>36.729999999999997</v>
      </c>
      <c r="I1082">
        <v>1</v>
      </c>
      <c r="J1082">
        <v>52.94</v>
      </c>
      <c r="K1082" t="s">
        <v>1993</v>
      </c>
      <c r="L1082">
        <v>1</v>
      </c>
      <c r="M1082">
        <v>1</v>
      </c>
      <c r="N1082" s="1">
        <f t="shared" si="32"/>
        <v>0</v>
      </c>
      <c r="O1082" s="1">
        <f t="shared" si="33"/>
        <v>1</v>
      </c>
    </row>
    <row r="1083" spans="1:15" x14ac:dyDescent="0.25">
      <c r="A1083" t="s">
        <v>2699</v>
      </c>
      <c r="B1083" t="s">
        <v>2697</v>
      </c>
      <c r="C1083" t="s">
        <v>2698</v>
      </c>
      <c r="D1083">
        <v>-0.72</v>
      </c>
      <c r="E1083">
        <v>5.4</v>
      </c>
      <c r="F1083">
        <v>-1.45</v>
      </c>
      <c r="G1083">
        <v>41.13</v>
      </c>
      <c r="H1083">
        <v>36.700000000000003</v>
      </c>
      <c r="I1083">
        <v>0.99</v>
      </c>
      <c r="J1083">
        <v>43.72</v>
      </c>
      <c r="K1083" t="s">
        <v>1993</v>
      </c>
      <c r="L1083">
        <v>1</v>
      </c>
      <c r="M1083">
        <v>1</v>
      </c>
      <c r="N1083" s="1">
        <f t="shared" si="32"/>
        <v>0</v>
      </c>
      <c r="O1083" s="1">
        <f t="shared" si="33"/>
        <v>1</v>
      </c>
    </row>
    <row r="1084" spans="1:15" x14ac:dyDescent="0.25">
      <c r="A1084" t="s">
        <v>2700</v>
      </c>
      <c r="B1084" t="s">
        <v>2701</v>
      </c>
      <c r="D1084">
        <v>-0.76</v>
      </c>
      <c r="F1084">
        <v>-1.89</v>
      </c>
      <c r="G1084">
        <v>26.9</v>
      </c>
      <c r="H1084">
        <v>63.5</v>
      </c>
      <c r="I1084">
        <v>3</v>
      </c>
      <c r="J1084">
        <v>17.3</v>
      </c>
      <c r="K1084" t="s">
        <v>1993</v>
      </c>
      <c r="L1084">
        <v>1</v>
      </c>
      <c r="M1084">
        <v>1</v>
      </c>
      <c r="N1084" s="1">
        <f t="shared" si="32"/>
        <v>0</v>
      </c>
      <c r="O1084" s="1">
        <f t="shared" si="33"/>
        <v>1</v>
      </c>
    </row>
    <row r="1085" spans="1:15" x14ac:dyDescent="0.25">
      <c r="A1085" t="s">
        <v>2702</v>
      </c>
      <c r="B1085" t="s">
        <v>2703</v>
      </c>
      <c r="D1085">
        <v>-0.78</v>
      </c>
      <c r="F1085">
        <v>-3.65</v>
      </c>
      <c r="G1085">
        <v>25.4</v>
      </c>
      <c r="H1085">
        <v>65</v>
      </c>
      <c r="I1085">
        <v>3.1</v>
      </c>
      <c r="J1085">
        <v>19.7</v>
      </c>
      <c r="K1085" t="s">
        <v>1993</v>
      </c>
      <c r="L1085">
        <v>1</v>
      </c>
      <c r="M1085">
        <v>1</v>
      </c>
      <c r="N1085" s="1">
        <f t="shared" si="32"/>
        <v>0</v>
      </c>
      <c r="O1085" s="1">
        <f t="shared" si="33"/>
        <v>1</v>
      </c>
    </row>
    <row r="1086" spans="1:15" x14ac:dyDescent="0.25">
      <c r="A1086" t="s">
        <v>2704</v>
      </c>
      <c r="B1086" t="s">
        <v>2705</v>
      </c>
      <c r="D1086">
        <v>-0.79</v>
      </c>
      <c r="E1086">
        <v>0</v>
      </c>
      <c r="F1086">
        <v>-1.58</v>
      </c>
      <c r="G1086">
        <v>32.26</v>
      </c>
      <c r="H1086">
        <v>42.52</v>
      </c>
      <c r="I1086">
        <v>1.22</v>
      </c>
      <c r="J1086">
        <v>34.64</v>
      </c>
      <c r="K1086" t="s">
        <v>1993</v>
      </c>
      <c r="L1086">
        <v>1</v>
      </c>
      <c r="M1086">
        <v>1</v>
      </c>
      <c r="N1086" s="1">
        <f t="shared" si="32"/>
        <v>0</v>
      </c>
      <c r="O1086" s="1">
        <f t="shared" si="33"/>
        <v>1</v>
      </c>
    </row>
    <row r="1087" spans="1:15" x14ac:dyDescent="0.25">
      <c r="A1087" t="s">
        <v>2706</v>
      </c>
      <c r="B1087" t="s">
        <v>2707</v>
      </c>
      <c r="C1087" t="s">
        <v>659</v>
      </c>
      <c r="D1087">
        <v>-0.89</v>
      </c>
      <c r="E1087">
        <v>3.41</v>
      </c>
      <c r="F1087">
        <v>-1.78</v>
      </c>
      <c r="G1087">
        <v>0</v>
      </c>
      <c r="H1087">
        <v>84.1</v>
      </c>
      <c r="I1087">
        <v>1.6</v>
      </c>
      <c r="J1087">
        <v>55.5</v>
      </c>
      <c r="K1087" t="s">
        <v>1993</v>
      </c>
      <c r="L1087">
        <v>1</v>
      </c>
      <c r="M1087">
        <v>1</v>
      </c>
      <c r="N1087" s="1">
        <f t="shared" si="32"/>
        <v>0</v>
      </c>
      <c r="O1087" s="1">
        <f t="shared" si="33"/>
        <v>1</v>
      </c>
    </row>
    <row r="1088" spans="1:15" x14ac:dyDescent="0.25">
      <c r="A1088" t="s">
        <v>2708</v>
      </c>
      <c r="B1088" t="s">
        <v>2709</v>
      </c>
      <c r="C1088" t="s">
        <v>2449</v>
      </c>
      <c r="D1088">
        <v>-0.9</v>
      </c>
      <c r="F1088">
        <v>-1.96</v>
      </c>
      <c r="G1088">
        <v>14</v>
      </c>
      <c r="H1088">
        <v>68</v>
      </c>
      <c r="I1088">
        <v>10.4</v>
      </c>
      <c r="J1088">
        <v>10.5</v>
      </c>
      <c r="K1088" t="s">
        <v>1993</v>
      </c>
      <c r="L1088">
        <v>1</v>
      </c>
      <c r="M1088">
        <v>1</v>
      </c>
      <c r="N1088" s="1">
        <f t="shared" si="32"/>
        <v>0</v>
      </c>
      <c r="O1088" s="1">
        <f t="shared" si="33"/>
        <v>1</v>
      </c>
    </row>
    <row r="1089" spans="1:15" x14ac:dyDescent="0.25">
      <c r="A1089" t="s">
        <v>2710</v>
      </c>
      <c r="B1089" t="s">
        <v>2711</v>
      </c>
      <c r="C1089" t="s">
        <v>2712</v>
      </c>
      <c r="D1089">
        <v>-0.93</v>
      </c>
      <c r="E1089">
        <v>4.29</v>
      </c>
      <c r="F1089">
        <v>-1.87</v>
      </c>
      <c r="G1089">
        <v>21</v>
      </c>
      <c r="H1089">
        <v>60</v>
      </c>
      <c r="I1089">
        <v>1</v>
      </c>
      <c r="J1089">
        <v>17</v>
      </c>
      <c r="K1089" t="s">
        <v>1993</v>
      </c>
      <c r="L1089">
        <v>1</v>
      </c>
      <c r="M1089">
        <v>1</v>
      </c>
      <c r="N1089" s="1">
        <f t="shared" si="32"/>
        <v>0</v>
      </c>
      <c r="O1089" s="1">
        <f t="shared" si="33"/>
        <v>1</v>
      </c>
    </row>
    <row r="1090" spans="1:15" x14ac:dyDescent="0.25">
      <c r="A1090" t="s">
        <v>2713</v>
      </c>
      <c r="B1090" t="s">
        <v>2714</v>
      </c>
      <c r="C1090" t="s">
        <v>2634</v>
      </c>
      <c r="D1090">
        <v>-0.94</v>
      </c>
      <c r="E1090">
        <v>2.41</v>
      </c>
      <c r="F1090">
        <v>-1.9</v>
      </c>
      <c r="G1090">
        <v>21</v>
      </c>
      <c r="H1090">
        <v>64</v>
      </c>
      <c r="I1090">
        <v>5.5</v>
      </c>
      <c r="J1090">
        <v>14</v>
      </c>
      <c r="K1090" t="s">
        <v>1993</v>
      </c>
      <c r="L1090">
        <v>1</v>
      </c>
      <c r="M1090">
        <v>1</v>
      </c>
      <c r="N1090" s="1">
        <f t="shared" ref="N1090:N1153" si="34">1-O1090</f>
        <v>0</v>
      </c>
      <c r="O1090" s="1">
        <f t="shared" ref="O1090:O1143" si="35">M1090/L1090</f>
        <v>1</v>
      </c>
    </row>
    <row r="1091" spans="1:15" x14ac:dyDescent="0.25">
      <c r="A1091" t="s">
        <v>2715</v>
      </c>
      <c r="B1091" t="s">
        <v>2716</v>
      </c>
      <c r="C1091" t="s">
        <v>2717</v>
      </c>
      <c r="D1091">
        <v>-1.05</v>
      </c>
      <c r="E1091">
        <v>2.42</v>
      </c>
      <c r="F1091">
        <v>-2.12</v>
      </c>
      <c r="G1091">
        <v>21</v>
      </c>
      <c r="H1091">
        <v>64</v>
      </c>
      <c r="I1091">
        <v>5.5</v>
      </c>
      <c r="J1091">
        <v>14</v>
      </c>
      <c r="K1091" t="s">
        <v>1993</v>
      </c>
      <c r="L1091">
        <v>1</v>
      </c>
      <c r="M1091">
        <v>1</v>
      </c>
      <c r="N1091" s="1">
        <f t="shared" si="34"/>
        <v>0</v>
      </c>
      <c r="O1091" s="1">
        <f t="shared" si="35"/>
        <v>1</v>
      </c>
    </row>
    <row r="1092" spans="1:15" x14ac:dyDescent="0.25">
      <c r="A1092" t="s">
        <v>2718</v>
      </c>
      <c r="B1092" t="s">
        <v>2719</v>
      </c>
      <c r="C1092" t="s">
        <v>1637</v>
      </c>
      <c r="D1092">
        <v>-1.1000000000000001</v>
      </c>
      <c r="E1092">
        <v>2.91</v>
      </c>
      <c r="F1092">
        <v>-2.2000000000000002</v>
      </c>
      <c r="G1092">
        <v>13.27</v>
      </c>
      <c r="H1092">
        <v>74.73</v>
      </c>
      <c r="I1092">
        <v>3.98</v>
      </c>
      <c r="J1092">
        <v>52.87</v>
      </c>
      <c r="K1092" t="s">
        <v>1993</v>
      </c>
      <c r="L1092">
        <v>1</v>
      </c>
      <c r="M1092">
        <v>1</v>
      </c>
      <c r="N1092" s="1">
        <f t="shared" si="34"/>
        <v>0</v>
      </c>
      <c r="O1092" s="1">
        <f t="shared" si="35"/>
        <v>1</v>
      </c>
    </row>
    <row r="1093" spans="1:15" x14ac:dyDescent="0.25">
      <c r="A1093" t="s">
        <v>2720</v>
      </c>
      <c r="B1093" t="s">
        <v>2721</v>
      </c>
      <c r="C1093" t="s">
        <v>2722</v>
      </c>
      <c r="D1093">
        <v>-1.1100000000000001</v>
      </c>
      <c r="E1093">
        <v>6.83</v>
      </c>
      <c r="F1093">
        <v>-2.2200000000000002</v>
      </c>
      <c r="G1093">
        <v>25</v>
      </c>
      <c r="H1093">
        <v>60</v>
      </c>
      <c r="I1093">
        <v>1</v>
      </c>
      <c r="J1093">
        <v>17</v>
      </c>
      <c r="K1093" t="s">
        <v>1993</v>
      </c>
      <c r="L1093">
        <v>1</v>
      </c>
      <c r="M1093">
        <v>1</v>
      </c>
      <c r="N1093" s="1">
        <f t="shared" si="34"/>
        <v>0</v>
      </c>
      <c r="O1093" s="1">
        <f t="shared" si="35"/>
        <v>1</v>
      </c>
    </row>
    <row r="1094" spans="1:15" x14ac:dyDescent="0.25">
      <c r="A1094" t="s">
        <v>2723</v>
      </c>
      <c r="B1094" t="s">
        <v>2724</v>
      </c>
      <c r="C1094" t="s">
        <v>2725</v>
      </c>
      <c r="D1094">
        <v>-1.23</v>
      </c>
      <c r="E1094">
        <v>2.88</v>
      </c>
      <c r="F1094">
        <v>-2.4700000000000002</v>
      </c>
      <c r="G1094">
        <v>17.600000000000001</v>
      </c>
      <c r="H1094">
        <v>48</v>
      </c>
      <c r="I1094">
        <v>2.4</v>
      </c>
      <c r="J1094">
        <v>13</v>
      </c>
      <c r="K1094" t="s">
        <v>1993</v>
      </c>
      <c r="L1094">
        <v>1</v>
      </c>
      <c r="M1094">
        <v>1</v>
      </c>
      <c r="N1094" s="1">
        <f t="shared" si="34"/>
        <v>0</v>
      </c>
      <c r="O1094" s="1">
        <f t="shared" si="35"/>
        <v>1</v>
      </c>
    </row>
    <row r="1095" spans="1:15" x14ac:dyDescent="0.25">
      <c r="A1095" t="s">
        <v>2726</v>
      </c>
      <c r="B1095" t="s">
        <v>2727</v>
      </c>
      <c r="C1095" t="s">
        <v>2728</v>
      </c>
      <c r="D1095">
        <v>-1.37</v>
      </c>
      <c r="E1095">
        <v>3.55</v>
      </c>
      <c r="F1095">
        <v>-2.75</v>
      </c>
      <c r="G1095">
        <v>31.64</v>
      </c>
      <c r="H1095">
        <v>51.48</v>
      </c>
      <c r="I1095">
        <v>5.21</v>
      </c>
      <c r="J1095">
        <v>18.29</v>
      </c>
      <c r="K1095" t="s">
        <v>1993</v>
      </c>
      <c r="L1095">
        <v>1</v>
      </c>
      <c r="M1095">
        <v>1</v>
      </c>
      <c r="N1095" s="1">
        <f t="shared" si="34"/>
        <v>0</v>
      </c>
      <c r="O1095" s="1">
        <f t="shared" si="35"/>
        <v>1</v>
      </c>
    </row>
    <row r="1096" spans="1:15" x14ac:dyDescent="0.25">
      <c r="A1096" t="s">
        <v>2729</v>
      </c>
      <c r="B1096" t="s">
        <v>2719</v>
      </c>
      <c r="C1096" t="s">
        <v>1637</v>
      </c>
      <c r="D1096">
        <v>-1.4</v>
      </c>
      <c r="E1096">
        <v>2.91</v>
      </c>
      <c r="F1096">
        <v>-2.81</v>
      </c>
      <c r="G1096">
        <v>11.26</v>
      </c>
      <c r="H1096">
        <v>74.81</v>
      </c>
      <c r="I1096">
        <v>3.98</v>
      </c>
      <c r="J1096">
        <v>52.86</v>
      </c>
      <c r="K1096" t="s">
        <v>1993</v>
      </c>
      <c r="L1096">
        <v>1</v>
      </c>
      <c r="M1096">
        <v>1</v>
      </c>
      <c r="N1096" s="1">
        <f t="shared" si="34"/>
        <v>0</v>
      </c>
      <c r="O1096" s="1">
        <f t="shared" si="35"/>
        <v>1</v>
      </c>
    </row>
    <row r="1097" spans="1:15" x14ac:dyDescent="0.25">
      <c r="A1097" t="s">
        <v>2730</v>
      </c>
      <c r="B1097" t="s">
        <v>2731</v>
      </c>
      <c r="C1097" t="s">
        <v>2728</v>
      </c>
      <c r="D1097">
        <v>-1.42</v>
      </c>
      <c r="E1097">
        <v>3.55</v>
      </c>
      <c r="F1097">
        <v>-2.85</v>
      </c>
      <c r="G1097">
        <v>25.91</v>
      </c>
      <c r="H1097">
        <v>58.67</v>
      </c>
      <c r="I1097">
        <v>4.93</v>
      </c>
      <c r="J1097">
        <v>17.07</v>
      </c>
      <c r="K1097" t="s">
        <v>1993</v>
      </c>
      <c r="L1097">
        <v>1</v>
      </c>
      <c r="M1097">
        <v>1</v>
      </c>
      <c r="N1097" s="1">
        <f t="shared" si="34"/>
        <v>0</v>
      </c>
      <c r="O1097" s="1">
        <f t="shared" si="35"/>
        <v>1</v>
      </c>
    </row>
    <row r="1098" spans="1:15" x14ac:dyDescent="0.25">
      <c r="A1098" t="s">
        <v>2732</v>
      </c>
      <c r="B1098" t="s">
        <v>2733</v>
      </c>
      <c r="C1098" t="s">
        <v>2734</v>
      </c>
      <c r="D1098">
        <v>-1.48</v>
      </c>
      <c r="E1098">
        <v>3.81</v>
      </c>
      <c r="F1098">
        <v>-2.96</v>
      </c>
      <c r="G1098">
        <v>38</v>
      </c>
      <c r="H1098">
        <v>0</v>
      </c>
      <c r="I1098">
        <v>3</v>
      </c>
      <c r="J1098">
        <v>21</v>
      </c>
      <c r="K1098" t="s">
        <v>1993</v>
      </c>
      <c r="L1098">
        <v>1</v>
      </c>
      <c r="M1098">
        <v>1</v>
      </c>
      <c r="N1098" s="1">
        <f t="shared" si="34"/>
        <v>0</v>
      </c>
      <c r="O1098" s="1">
        <f t="shared" si="35"/>
        <v>1</v>
      </c>
    </row>
    <row r="1099" spans="1:15" x14ac:dyDescent="0.25">
      <c r="A1099" t="s">
        <v>2735</v>
      </c>
      <c r="B1099" t="s">
        <v>2736</v>
      </c>
      <c r="C1099" t="s">
        <v>2689</v>
      </c>
      <c r="D1099">
        <v>-1.49</v>
      </c>
      <c r="E1099">
        <v>4.42</v>
      </c>
      <c r="F1099">
        <v>-2.99</v>
      </c>
      <c r="G1099">
        <v>17.649999999999999</v>
      </c>
      <c r="H1099">
        <v>48</v>
      </c>
      <c r="I1099">
        <v>2.4</v>
      </c>
      <c r="J1099">
        <v>13</v>
      </c>
      <c r="K1099" t="s">
        <v>1993</v>
      </c>
      <c r="L1099">
        <v>1</v>
      </c>
      <c r="M1099">
        <v>1</v>
      </c>
      <c r="N1099" s="1">
        <f t="shared" si="34"/>
        <v>0</v>
      </c>
      <c r="O1099" s="1">
        <f t="shared" si="35"/>
        <v>1</v>
      </c>
    </row>
    <row r="1100" spans="1:15" x14ac:dyDescent="0.25">
      <c r="A1100" t="s">
        <v>2737</v>
      </c>
      <c r="B1100" t="s">
        <v>2738</v>
      </c>
      <c r="C1100" t="s">
        <v>1315</v>
      </c>
      <c r="D1100">
        <v>-1.62</v>
      </c>
      <c r="E1100">
        <v>2.91</v>
      </c>
      <c r="F1100">
        <v>-3.23</v>
      </c>
      <c r="G1100">
        <v>23.3</v>
      </c>
      <c r="H1100">
        <v>73.989999999999995</v>
      </c>
      <c r="I1100">
        <v>2.71</v>
      </c>
      <c r="J1100">
        <v>10.48</v>
      </c>
      <c r="K1100" t="s">
        <v>1993</v>
      </c>
      <c r="L1100">
        <v>1</v>
      </c>
      <c r="M1100">
        <v>1</v>
      </c>
      <c r="N1100" s="1">
        <f t="shared" si="34"/>
        <v>0</v>
      </c>
      <c r="O1100" s="1">
        <f t="shared" si="35"/>
        <v>1</v>
      </c>
    </row>
    <row r="1101" spans="1:15" x14ac:dyDescent="0.25">
      <c r="A1101" t="s">
        <v>2739</v>
      </c>
      <c r="B1101" t="s">
        <v>2740</v>
      </c>
      <c r="C1101" t="s">
        <v>2741</v>
      </c>
      <c r="D1101">
        <v>-1.75</v>
      </c>
      <c r="E1101">
        <v>0.01</v>
      </c>
      <c r="F1101">
        <v>-3.5</v>
      </c>
      <c r="G1101">
        <v>0</v>
      </c>
      <c r="H1101">
        <v>98.97</v>
      </c>
      <c r="I1101">
        <v>1.03</v>
      </c>
      <c r="J1101">
        <v>26.72</v>
      </c>
      <c r="K1101" t="s">
        <v>1993</v>
      </c>
      <c r="L1101">
        <v>1</v>
      </c>
      <c r="M1101">
        <v>1</v>
      </c>
      <c r="N1101" s="1">
        <f t="shared" si="34"/>
        <v>0</v>
      </c>
      <c r="O1101" s="1">
        <f t="shared" si="35"/>
        <v>1</v>
      </c>
    </row>
    <row r="1102" spans="1:15" x14ac:dyDescent="0.25">
      <c r="A1102" t="s">
        <v>2742</v>
      </c>
      <c r="B1102" t="s">
        <v>2743</v>
      </c>
      <c r="C1102" t="s">
        <v>1141</v>
      </c>
      <c r="D1102">
        <v>-1.85</v>
      </c>
      <c r="E1102">
        <v>0.45</v>
      </c>
      <c r="F1102">
        <v>-3.69</v>
      </c>
      <c r="G1102">
        <v>0</v>
      </c>
      <c r="H1102">
        <v>98.01</v>
      </c>
      <c r="I1102">
        <v>1.99</v>
      </c>
      <c r="J1102">
        <v>98.01</v>
      </c>
      <c r="K1102" t="s">
        <v>1993</v>
      </c>
      <c r="L1102">
        <v>1</v>
      </c>
      <c r="M1102">
        <v>1</v>
      </c>
      <c r="N1102" s="1">
        <f t="shared" si="34"/>
        <v>0</v>
      </c>
      <c r="O1102" s="1">
        <f t="shared" si="35"/>
        <v>1</v>
      </c>
    </row>
    <row r="1103" spans="1:15" x14ac:dyDescent="0.25">
      <c r="A1103" t="s">
        <v>2744</v>
      </c>
      <c r="B1103" t="s">
        <v>2745</v>
      </c>
      <c r="C1103" t="s">
        <v>2746</v>
      </c>
      <c r="D1103">
        <v>-1.89</v>
      </c>
      <c r="E1103">
        <v>0.72</v>
      </c>
      <c r="F1103">
        <v>-3.78</v>
      </c>
      <c r="G1103">
        <v>0</v>
      </c>
      <c r="H1103">
        <v>99.6</v>
      </c>
      <c r="I1103">
        <v>0.4</v>
      </c>
      <c r="J1103">
        <v>99.6</v>
      </c>
      <c r="K1103" t="s">
        <v>1993</v>
      </c>
      <c r="L1103">
        <v>1</v>
      </c>
      <c r="M1103">
        <v>1</v>
      </c>
      <c r="N1103" s="1">
        <f t="shared" si="34"/>
        <v>0</v>
      </c>
      <c r="O1103" s="1">
        <f t="shared" si="35"/>
        <v>1</v>
      </c>
    </row>
    <row r="1104" spans="1:15" x14ac:dyDescent="0.25">
      <c r="A1104" t="s">
        <v>2747</v>
      </c>
      <c r="B1104" t="s">
        <v>2748</v>
      </c>
      <c r="C1104" t="s">
        <v>2749</v>
      </c>
      <c r="D1104">
        <v>-1.98</v>
      </c>
      <c r="E1104">
        <v>5.92</v>
      </c>
      <c r="F1104">
        <v>-3.95</v>
      </c>
      <c r="G1104">
        <v>23</v>
      </c>
      <c r="H1104">
        <v>16</v>
      </c>
      <c r="I1104">
        <v>2</v>
      </c>
      <c r="J1104">
        <v>18</v>
      </c>
      <c r="K1104" t="s">
        <v>1993</v>
      </c>
      <c r="L1104">
        <v>1</v>
      </c>
      <c r="M1104">
        <v>1</v>
      </c>
      <c r="N1104" s="1">
        <f t="shared" si="34"/>
        <v>0</v>
      </c>
      <c r="O1104" s="1">
        <f t="shared" si="35"/>
        <v>1</v>
      </c>
    </row>
    <row r="1105" spans="1:15" x14ac:dyDescent="0.25">
      <c r="A1105" t="s">
        <v>2750</v>
      </c>
      <c r="B1105" t="s">
        <v>2751</v>
      </c>
      <c r="C1105" t="s">
        <v>2752</v>
      </c>
      <c r="D1105">
        <v>-2.25</v>
      </c>
      <c r="E1105">
        <v>2.91</v>
      </c>
      <c r="F1105">
        <v>-4.49</v>
      </c>
      <c r="G1105">
        <v>12</v>
      </c>
      <c r="H1105">
        <v>75.47</v>
      </c>
      <c r="I1105">
        <v>2.5299999999999998</v>
      </c>
      <c r="J1105">
        <v>0</v>
      </c>
      <c r="K1105" t="s">
        <v>1993</v>
      </c>
      <c r="L1105">
        <v>1</v>
      </c>
      <c r="M1105">
        <v>1</v>
      </c>
      <c r="N1105" s="1">
        <f t="shared" si="34"/>
        <v>0</v>
      </c>
      <c r="O1105" s="1">
        <f t="shared" si="35"/>
        <v>1</v>
      </c>
    </row>
    <row r="1106" spans="1:15" x14ac:dyDescent="0.25">
      <c r="A1106" t="s">
        <v>2753</v>
      </c>
      <c r="B1106" t="s">
        <v>2754</v>
      </c>
      <c r="C1106" t="s">
        <v>2755</v>
      </c>
      <c r="D1106">
        <v>-2.35</v>
      </c>
      <c r="E1106">
        <v>6.62</v>
      </c>
      <c r="F1106">
        <v>-4.6900000000000004</v>
      </c>
      <c r="G1106">
        <v>86.09</v>
      </c>
      <c r="H1106">
        <v>0</v>
      </c>
      <c r="I1106">
        <v>4.6399999999999997</v>
      </c>
      <c r="J1106">
        <v>41.22</v>
      </c>
      <c r="K1106" t="s">
        <v>1993</v>
      </c>
      <c r="L1106">
        <v>1</v>
      </c>
      <c r="M1106">
        <v>1</v>
      </c>
      <c r="N1106" s="1">
        <f t="shared" si="34"/>
        <v>0</v>
      </c>
      <c r="O1106" s="1">
        <f t="shared" si="35"/>
        <v>1</v>
      </c>
    </row>
    <row r="1107" spans="1:15" x14ac:dyDescent="0.25">
      <c r="A1107" t="s">
        <v>2756</v>
      </c>
      <c r="B1107" t="s">
        <v>2754</v>
      </c>
      <c r="C1107" t="s">
        <v>2757</v>
      </c>
      <c r="D1107">
        <v>-2.41</v>
      </c>
      <c r="E1107">
        <v>6.63</v>
      </c>
      <c r="F1107">
        <v>-4.79</v>
      </c>
      <c r="G1107">
        <v>86.5</v>
      </c>
      <c r="H1107">
        <v>0</v>
      </c>
      <c r="I1107">
        <v>4.5</v>
      </c>
      <c r="J1107">
        <v>46</v>
      </c>
      <c r="K1107" t="s">
        <v>1993</v>
      </c>
      <c r="L1107">
        <v>1</v>
      </c>
      <c r="M1107">
        <v>1</v>
      </c>
      <c r="N1107" s="1">
        <f t="shared" si="34"/>
        <v>0</v>
      </c>
      <c r="O1107" s="1">
        <f t="shared" si="35"/>
        <v>1</v>
      </c>
    </row>
    <row r="1108" spans="1:15" x14ac:dyDescent="0.25">
      <c r="A1108" t="s">
        <v>2758</v>
      </c>
      <c r="B1108" t="s">
        <v>2759</v>
      </c>
      <c r="D1108">
        <v>-2.71</v>
      </c>
      <c r="E1108">
        <v>0</v>
      </c>
      <c r="F1108">
        <v>-5.38</v>
      </c>
      <c r="G1108">
        <v>74.14</v>
      </c>
      <c r="H1108">
        <v>16.309999999999999</v>
      </c>
      <c r="I1108">
        <v>1.06</v>
      </c>
      <c r="J1108">
        <v>57.46</v>
      </c>
      <c r="K1108" t="s">
        <v>1993</v>
      </c>
      <c r="L1108">
        <v>1</v>
      </c>
      <c r="M1108">
        <v>1</v>
      </c>
      <c r="N1108" s="1">
        <f t="shared" si="34"/>
        <v>0</v>
      </c>
      <c r="O1108" s="1">
        <f t="shared" si="35"/>
        <v>1</v>
      </c>
    </row>
    <row r="1109" spans="1:15" x14ac:dyDescent="0.25">
      <c r="A1109" t="s">
        <v>2760</v>
      </c>
      <c r="B1109" t="s">
        <v>2761</v>
      </c>
      <c r="C1109" t="s">
        <v>2637</v>
      </c>
      <c r="D1109">
        <v>-3.05</v>
      </c>
      <c r="F1109">
        <v>-8.8000000000000007</v>
      </c>
      <c r="G1109">
        <v>23.08</v>
      </c>
      <c r="H1109">
        <v>59.63</v>
      </c>
      <c r="I1109">
        <v>5.3</v>
      </c>
      <c r="J1109">
        <v>17.190000000000001</v>
      </c>
      <c r="K1109" t="s">
        <v>1993</v>
      </c>
      <c r="L1109">
        <v>1</v>
      </c>
      <c r="M1109">
        <v>1</v>
      </c>
      <c r="N1109" s="1">
        <f t="shared" si="34"/>
        <v>0</v>
      </c>
      <c r="O1109" s="1">
        <f t="shared" si="35"/>
        <v>1</v>
      </c>
    </row>
    <row r="1110" spans="1:15" x14ac:dyDescent="0.25">
      <c r="A1110" t="s">
        <v>2762</v>
      </c>
      <c r="B1110" t="s">
        <v>2763</v>
      </c>
      <c r="C1110" t="s">
        <v>2637</v>
      </c>
      <c r="D1110">
        <v>-3.2</v>
      </c>
      <c r="F1110">
        <v>-7.46</v>
      </c>
      <c r="G1110">
        <v>22.5</v>
      </c>
      <c r="H1110">
        <v>59.5</v>
      </c>
      <c r="I1110">
        <v>5.5</v>
      </c>
      <c r="J1110">
        <v>17</v>
      </c>
      <c r="K1110" t="s">
        <v>1993</v>
      </c>
      <c r="L1110">
        <v>1</v>
      </c>
      <c r="M1110">
        <v>1</v>
      </c>
      <c r="N1110" s="1">
        <f t="shared" si="34"/>
        <v>0</v>
      </c>
      <c r="O1110" s="1">
        <f t="shared" si="35"/>
        <v>1</v>
      </c>
    </row>
    <row r="1111" spans="1:15" x14ac:dyDescent="0.25">
      <c r="A1111" t="s">
        <v>2764</v>
      </c>
      <c r="B1111" t="s">
        <v>2765</v>
      </c>
      <c r="D1111">
        <v>-3.33</v>
      </c>
      <c r="F1111">
        <v>-6.59</v>
      </c>
      <c r="G1111">
        <v>89.88</v>
      </c>
      <c r="H1111">
        <v>2.85</v>
      </c>
      <c r="I1111">
        <v>0.85</v>
      </c>
      <c r="J1111">
        <v>32.28</v>
      </c>
      <c r="K1111" t="s">
        <v>1993</v>
      </c>
      <c r="L1111">
        <v>1</v>
      </c>
      <c r="M1111">
        <v>1</v>
      </c>
      <c r="N1111" s="1">
        <f t="shared" si="34"/>
        <v>0</v>
      </c>
      <c r="O1111" s="1">
        <f t="shared" si="35"/>
        <v>1</v>
      </c>
    </row>
    <row r="1112" spans="1:15" x14ac:dyDescent="0.25">
      <c r="A1112" t="s">
        <v>2766</v>
      </c>
      <c r="B1112" t="s">
        <v>2767</v>
      </c>
      <c r="C1112" t="s">
        <v>2768</v>
      </c>
      <c r="D1112">
        <v>-3.38</v>
      </c>
      <c r="E1112">
        <v>1.18</v>
      </c>
      <c r="F1112">
        <v>-6.7</v>
      </c>
      <c r="G1112">
        <v>40.86</v>
      </c>
      <c r="H1112">
        <v>39.72</v>
      </c>
      <c r="I1112">
        <v>17.649999999999999</v>
      </c>
      <c r="J1112">
        <v>27.01</v>
      </c>
      <c r="K1112" t="s">
        <v>1993</v>
      </c>
      <c r="L1112">
        <v>1</v>
      </c>
      <c r="M1112">
        <v>1</v>
      </c>
      <c r="N1112" s="1">
        <f t="shared" si="34"/>
        <v>0</v>
      </c>
      <c r="O1112" s="1">
        <f t="shared" si="35"/>
        <v>1</v>
      </c>
    </row>
    <row r="1113" spans="1:15" x14ac:dyDescent="0.25">
      <c r="A1113" t="s">
        <v>2769</v>
      </c>
      <c r="B1113" t="s">
        <v>2770</v>
      </c>
      <c r="C1113" t="s">
        <v>2771</v>
      </c>
      <c r="D1113">
        <v>-3.4</v>
      </c>
      <c r="E1113">
        <v>0</v>
      </c>
      <c r="F1113">
        <v>-6.73</v>
      </c>
      <c r="G1113">
        <v>37.64</v>
      </c>
      <c r="H1113">
        <v>36.28</v>
      </c>
      <c r="I1113">
        <v>9.19</v>
      </c>
      <c r="J1113">
        <v>45.49</v>
      </c>
      <c r="K1113" t="s">
        <v>1993</v>
      </c>
      <c r="L1113">
        <v>1</v>
      </c>
      <c r="M1113">
        <v>1</v>
      </c>
      <c r="N1113" s="1">
        <f t="shared" si="34"/>
        <v>0</v>
      </c>
      <c r="O1113" s="1">
        <f t="shared" si="35"/>
        <v>1</v>
      </c>
    </row>
    <row r="1114" spans="1:15" x14ac:dyDescent="0.25">
      <c r="A1114" t="s">
        <v>2772</v>
      </c>
      <c r="B1114" t="s">
        <v>2767</v>
      </c>
      <c r="C1114" t="s">
        <v>2768</v>
      </c>
      <c r="D1114">
        <v>-3.44</v>
      </c>
      <c r="E1114">
        <v>1.18</v>
      </c>
      <c r="F1114">
        <v>-6.82</v>
      </c>
      <c r="G1114">
        <v>40.869999999999997</v>
      </c>
      <c r="H1114">
        <v>40.840000000000003</v>
      </c>
      <c r="I1114">
        <v>15.62</v>
      </c>
      <c r="J1114">
        <v>26.05</v>
      </c>
      <c r="K1114" t="s">
        <v>1993</v>
      </c>
      <c r="L1114">
        <v>1</v>
      </c>
      <c r="M1114">
        <v>1</v>
      </c>
      <c r="N1114" s="1">
        <f t="shared" si="34"/>
        <v>0</v>
      </c>
      <c r="O1114" s="1">
        <f t="shared" si="35"/>
        <v>1</v>
      </c>
    </row>
    <row r="1115" spans="1:15" x14ac:dyDescent="0.25">
      <c r="A1115" t="s">
        <v>2773</v>
      </c>
      <c r="B1115" t="s">
        <v>2774</v>
      </c>
      <c r="C1115" t="s">
        <v>2775</v>
      </c>
      <c r="D1115">
        <v>-3.59</v>
      </c>
      <c r="E1115">
        <v>0.8</v>
      </c>
      <c r="F1115">
        <v>-7.12</v>
      </c>
      <c r="G1115">
        <v>30</v>
      </c>
      <c r="H1115">
        <v>68</v>
      </c>
      <c r="I1115">
        <v>2</v>
      </c>
      <c r="J1115">
        <v>30</v>
      </c>
      <c r="K1115" t="s">
        <v>1993</v>
      </c>
      <c r="L1115">
        <v>1</v>
      </c>
      <c r="M1115">
        <v>1</v>
      </c>
      <c r="N1115" s="1">
        <f t="shared" si="34"/>
        <v>0</v>
      </c>
      <c r="O1115" s="1">
        <f t="shared" si="35"/>
        <v>1</v>
      </c>
    </row>
    <row r="1116" spans="1:15" x14ac:dyDescent="0.25">
      <c r="A1116" t="s">
        <v>2776</v>
      </c>
      <c r="B1116" t="s">
        <v>2777</v>
      </c>
      <c r="C1116" t="s">
        <v>2778</v>
      </c>
      <c r="D1116">
        <v>-3.67</v>
      </c>
      <c r="F1116">
        <v>-7.27</v>
      </c>
      <c r="G1116">
        <v>40.880000000000003</v>
      </c>
      <c r="H1116">
        <v>15.52</v>
      </c>
      <c r="I1116">
        <v>2.0699999999999998</v>
      </c>
      <c r="J1116">
        <v>38.17</v>
      </c>
      <c r="K1116" t="s">
        <v>1993</v>
      </c>
      <c r="L1116">
        <v>1</v>
      </c>
      <c r="M1116">
        <v>1</v>
      </c>
      <c r="N1116" s="1">
        <f t="shared" si="34"/>
        <v>0</v>
      </c>
      <c r="O1116" s="1">
        <f t="shared" si="35"/>
        <v>1</v>
      </c>
    </row>
    <row r="1117" spans="1:15" x14ac:dyDescent="0.25">
      <c r="A1117" t="s">
        <v>2779</v>
      </c>
      <c r="B1117" t="s">
        <v>2777</v>
      </c>
      <c r="C1117" t="s">
        <v>2780</v>
      </c>
      <c r="D1117">
        <v>-4.13</v>
      </c>
      <c r="E1117">
        <v>0.36</v>
      </c>
      <c r="F1117">
        <v>-8.16</v>
      </c>
      <c r="G1117">
        <v>41</v>
      </c>
      <c r="H1117">
        <v>15</v>
      </c>
      <c r="I1117">
        <v>2</v>
      </c>
      <c r="J1117">
        <v>33</v>
      </c>
      <c r="K1117" t="s">
        <v>1993</v>
      </c>
      <c r="L1117">
        <v>1</v>
      </c>
      <c r="M1117">
        <v>1</v>
      </c>
      <c r="N1117" s="1">
        <f t="shared" si="34"/>
        <v>0</v>
      </c>
      <c r="O1117" s="1">
        <f t="shared" si="35"/>
        <v>1</v>
      </c>
    </row>
    <row r="1118" spans="1:15" x14ac:dyDescent="0.25">
      <c r="A1118" t="s">
        <v>2781</v>
      </c>
      <c r="B1118" t="s">
        <v>2782</v>
      </c>
      <c r="C1118" t="s">
        <v>2783</v>
      </c>
      <c r="D1118">
        <v>-4.2</v>
      </c>
      <c r="E1118">
        <v>9.8800000000000008</v>
      </c>
      <c r="F1118">
        <v>-8.2899999999999991</v>
      </c>
      <c r="G1118">
        <v>95</v>
      </c>
      <c r="H1118">
        <v>0</v>
      </c>
      <c r="I1118">
        <v>5</v>
      </c>
      <c r="J1118">
        <v>48</v>
      </c>
      <c r="K1118" t="s">
        <v>1993</v>
      </c>
      <c r="L1118">
        <v>1</v>
      </c>
      <c r="M1118">
        <v>1</v>
      </c>
      <c r="N1118" s="1">
        <f t="shared" si="34"/>
        <v>0</v>
      </c>
      <c r="O1118" s="1">
        <f t="shared" si="35"/>
        <v>1</v>
      </c>
    </row>
    <row r="1119" spans="1:15" x14ac:dyDescent="0.25">
      <c r="A1119" t="s">
        <v>2784</v>
      </c>
      <c r="B1119" t="s">
        <v>2785</v>
      </c>
      <c r="C1119" t="s">
        <v>2786</v>
      </c>
      <c r="D1119">
        <v>-4.79</v>
      </c>
      <c r="E1119">
        <v>7.61</v>
      </c>
      <c r="F1119">
        <v>-9.42</v>
      </c>
      <c r="G1119">
        <v>78</v>
      </c>
      <c r="H1119">
        <v>19</v>
      </c>
      <c r="I1119">
        <v>3</v>
      </c>
      <c r="J1119">
        <v>20</v>
      </c>
      <c r="K1119" t="s">
        <v>1993</v>
      </c>
      <c r="L1119">
        <v>1</v>
      </c>
      <c r="M1119">
        <v>1</v>
      </c>
      <c r="N1119" s="1">
        <f t="shared" si="34"/>
        <v>0</v>
      </c>
      <c r="O1119" s="1">
        <f t="shared" si="35"/>
        <v>1</v>
      </c>
    </row>
    <row r="1120" spans="1:15" x14ac:dyDescent="0.25">
      <c r="A1120" t="s">
        <v>2787</v>
      </c>
      <c r="B1120" t="s">
        <v>2788</v>
      </c>
      <c r="C1120" t="s">
        <v>2789</v>
      </c>
      <c r="D1120">
        <v>-4.79</v>
      </c>
      <c r="E1120">
        <v>5.93</v>
      </c>
      <c r="F1120">
        <v>-9.43</v>
      </c>
      <c r="G1120">
        <v>65</v>
      </c>
      <c r="H1120">
        <v>12</v>
      </c>
      <c r="I1120">
        <v>17</v>
      </c>
      <c r="J1120">
        <v>37</v>
      </c>
      <c r="K1120" t="s">
        <v>1993</v>
      </c>
      <c r="L1120">
        <v>1</v>
      </c>
      <c r="M1120">
        <v>1</v>
      </c>
      <c r="N1120" s="1">
        <f t="shared" si="34"/>
        <v>0</v>
      </c>
      <c r="O1120" s="1">
        <f t="shared" si="35"/>
        <v>1</v>
      </c>
    </row>
    <row r="1121" spans="1:15" x14ac:dyDescent="0.25">
      <c r="A1121" t="s">
        <v>2790</v>
      </c>
      <c r="B1121" t="s">
        <v>2791</v>
      </c>
      <c r="C1121" t="s">
        <v>1845</v>
      </c>
      <c r="D1121">
        <v>-4.79</v>
      </c>
      <c r="E1121">
        <v>8.9</v>
      </c>
      <c r="F1121">
        <v>-9.43</v>
      </c>
      <c r="G1121">
        <v>99.5</v>
      </c>
      <c r="H1121">
        <v>0</v>
      </c>
      <c r="I1121">
        <v>0.5</v>
      </c>
      <c r="J1121">
        <v>40.090000000000003</v>
      </c>
      <c r="K1121" t="s">
        <v>1993</v>
      </c>
      <c r="L1121">
        <v>1</v>
      </c>
      <c r="M1121">
        <v>1</v>
      </c>
      <c r="N1121" s="1">
        <f t="shared" si="34"/>
        <v>0</v>
      </c>
      <c r="O1121" s="1">
        <f t="shared" si="35"/>
        <v>1</v>
      </c>
    </row>
    <row r="1122" spans="1:15" x14ac:dyDescent="0.25">
      <c r="A1122" t="s">
        <v>2792</v>
      </c>
      <c r="B1122" t="s">
        <v>2788</v>
      </c>
      <c r="C1122" t="s">
        <v>2789</v>
      </c>
      <c r="D1122">
        <v>-4.88</v>
      </c>
      <c r="E1122">
        <v>5.94</v>
      </c>
      <c r="F1122">
        <v>-9.59</v>
      </c>
      <c r="G1122">
        <v>65</v>
      </c>
      <c r="H1122">
        <v>12</v>
      </c>
      <c r="I1122">
        <v>17</v>
      </c>
      <c r="J1122">
        <v>37</v>
      </c>
      <c r="K1122" t="s">
        <v>1993</v>
      </c>
      <c r="L1122">
        <v>1</v>
      </c>
      <c r="M1122">
        <v>1</v>
      </c>
      <c r="N1122" s="1">
        <f t="shared" si="34"/>
        <v>0</v>
      </c>
      <c r="O1122" s="1">
        <f t="shared" si="35"/>
        <v>1</v>
      </c>
    </row>
    <row r="1123" spans="1:15" x14ac:dyDescent="0.25">
      <c r="A1123" t="s">
        <v>2793</v>
      </c>
      <c r="B1123" t="s">
        <v>2794</v>
      </c>
      <c r="C1123" t="s">
        <v>2795</v>
      </c>
      <c r="D1123">
        <v>-5.0199999999999996</v>
      </c>
      <c r="E1123">
        <v>2.67</v>
      </c>
      <c r="F1123">
        <v>-9.8699999999999992</v>
      </c>
      <c r="G1123">
        <v>52.5</v>
      </c>
      <c r="H1123">
        <v>15</v>
      </c>
      <c r="I1123">
        <v>16.829999999999998</v>
      </c>
      <c r="J1123">
        <v>34</v>
      </c>
      <c r="K1123" t="s">
        <v>1993</v>
      </c>
      <c r="L1123">
        <v>1</v>
      </c>
      <c r="M1123">
        <v>1</v>
      </c>
      <c r="N1123" s="1">
        <f t="shared" si="34"/>
        <v>0</v>
      </c>
      <c r="O1123" s="1">
        <f t="shared" si="35"/>
        <v>1</v>
      </c>
    </row>
    <row r="1124" spans="1:15" x14ac:dyDescent="0.25">
      <c r="A1124" t="s">
        <v>2796</v>
      </c>
      <c r="B1124" t="s">
        <v>2797</v>
      </c>
      <c r="C1124" t="s">
        <v>2798</v>
      </c>
      <c r="D1124">
        <v>-5.25</v>
      </c>
      <c r="E1124">
        <v>6.75</v>
      </c>
      <c r="F1124">
        <v>-10.3</v>
      </c>
      <c r="G1124">
        <v>22</v>
      </c>
      <c r="H1124">
        <v>0</v>
      </c>
      <c r="I1124">
        <v>1.5</v>
      </c>
      <c r="J1124">
        <v>18.5</v>
      </c>
      <c r="K1124" t="s">
        <v>1993</v>
      </c>
      <c r="L1124">
        <v>1</v>
      </c>
      <c r="M1124">
        <v>1</v>
      </c>
      <c r="N1124" s="1">
        <f t="shared" si="34"/>
        <v>0</v>
      </c>
      <c r="O1124" s="1">
        <f t="shared" si="35"/>
        <v>1</v>
      </c>
    </row>
    <row r="1125" spans="1:15" x14ac:dyDescent="0.25">
      <c r="A1125" t="s">
        <v>2799</v>
      </c>
      <c r="B1125" t="s">
        <v>2800</v>
      </c>
      <c r="C1125" t="s">
        <v>2801</v>
      </c>
      <c r="D1125">
        <v>-5.36</v>
      </c>
      <c r="E1125">
        <v>6.56</v>
      </c>
      <c r="F1125">
        <v>-10.5</v>
      </c>
      <c r="G1125">
        <v>23</v>
      </c>
      <c r="H1125">
        <v>0</v>
      </c>
      <c r="I1125">
        <v>2</v>
      </c>
      <c r="J1125">
        <v>18</v>
      </c>
      <c r="K1125" t="s">
        <v>1993</v>
      </c>
      <c r="L1125">
        <v>1</v>
      </c>
      <c r="M1125">
        <v>1</v>
      </c>
      <c r="N1125" s="1">
        <f t="shared" si="34"/>
        <v>0</v>
      </c>
      <c r="O1125" s="1">
        <f t="shared" si="35"/>
        <v>1</v>
      </c>
    </row>
    <row r="1126" spans="1:15" x14ac:dyDescent="0.25">
      <c r="A1126" t="s">
        <v>2802</v>
      </c>
      <c r="B1126" t="s">
        <v>2803</v>
      </c>
      <c r="C1126" t="s">
        <v>2804</v>
      </c>
      <c r="D1126">
        <v>-5.74</v>
      </c>
      <c r="E1126">
        <v>-11.76</v>
      </c>
      <c r="F1126">
        <v>-11.24</v>
      </c>
      <c r="G1126">
        <v>99</v>
      </c>
      <c r="H1126">
        <v>0</v>
      </c>
      <c r="I1126">
        <v>1</v>
      </c>
      <c r="J1126">
        <v>7</v>
      </c>
      <c r="K1126" t="s">
        <v>1993</v>
      </c>
      <c r="L1126">
        <v>1</v>
      </c>
      <c r="M1126">
        <v>1</v>
      </c>
      <c r="N1126" s="1">
        <f t="shared" si="34"/>
        <v>0</v>
      </c>
      <c r="O1126" s="1">
        <f t="shared" si="35"/>
        <v>1</v>
      </c>
    </row>
    <row r="1127" spans="1:15" x14ac:dyDescent="0.25">
      <c r="A1127" t="s">
        <v>2805</v>
      </c>
      <c r="B1127" t="s">
        <v>2806</v>
      </c>
      <c r="C1127" t="s">
        <v>2807</v>
      </c>
      <c r="D1127">
        <v>-6.26</v>
      </c>
      <c r="E1127">
        <v>6.66</v>
      </c>
      <c r="F1127">
        <v>-12.21</v>
      </c>
      <c r="G1127">
        <v>35</v>
      </c>
      <c r="H1127">
        <v>0</v>
      </c>
      <c r="I1127">
        <v>2</v>
      </c>
      <c r="J1127">
        <v>46</v>
      </c>
      <c r="K1127" t="s">
        <v>1993</v>
      </c>
      <c r="L1127">
        <v>1</v>
      </c>
      <c r="M1127">
        <v>1</v>
      </c>
      <c r="N1127" s="1">
        <f t="shared" si="34"/>
        <v>0</v>
      </c>
      <c r="O1127" s="1">
        <f t="shared" si="35"/>
        <v>1</v>
      </c>
    </row>
    <row r="1128" spans="1:15" x14ac:dyDescent="0.25">
      <c r="A1128" t="s">
        <v>2808</v>
      </c>
      <c r="B1128" t="s">
        <v>2809</v>
      </c>
      <c r="C1128" t="s">
        <v>2810</v>
      </c>
      <c r="D1128">
        <v>-6.59</v>
      </c>
      <c r="E1128">
        <v>8.61</v>
      </c>
      <c r="F1128">
        <v>-12.84</v>
      </c>
      <c r="G1128">
        <v>91.77</v>
      </c>
      <c r="H1128">
        <v>1.3</v>
      </c>
      <c r="I1128">
        <v>0.73</v>
      </c>
      <c r="J1128">
        <v>35.83</v>
      </c>
      <c r="K1128" t="s">
        <v>1993</v>
      </c>
      <c r="L1128">
        <v>1</v>
      </c>
      <c r="M1128">
        <v>1</v>
      </c>
      <c r="N1128" s="1">
        <f t="shared" si="34"/>
        <v>0</v>
      </c>
      <c r="O1128" s="1">
        <f t="shared" si="35"/>
        <v>1</v>
      </c>
    </row>
    <row r="1129" spans="1:15" x14ac:dyDescent="0.25">
      <c r="A1129" t="s">
        <v>2811</v>
      </c>
      <c r="B1129" t="s">
        <v>2812</v>
      </c>
      <c r="C1129" t="s">
        <v>2813</v>
      </c>
      <c r="D1129">
        <v>-6.78</v>
      </c>
      <c r="E1129">
        <v>-5.83</v>
      </c>
      <c r="F1129">
        <v>-13.2</v>
      </c>
      <c r="G1129">
        <v>90.49</v>
      </c>
      <c r="H1129">
        <v>0</v>
      </c>
      <c r="I1129">
        <v>2.4500000000000002</v>
      </c>
      <c r="J1129">
        <v>97.55</v>
      </c>
      <c r="K1129" t="s">
        <v>1993</v>
      </c>
      <c r="L1129">
        <v>1</v>
      </c>
      <c r="M1129">
        <v>1</v>
      </c>
      <c r="N1129" s="1">
        <f t="shared" si="34"/>
        <v>0</v>
      </c>
      <c r="O1129" s="1">
        <f t="shared" si="35"/>
        <v>1</v>
      </c>
    </row>
    <row r="1130" spans="1:15" x14ac:dyDescent="0.25">
      <c r="A1130" t="s">
        <v>2814</v>
      </c>
      <c r="B1130" t="s">
        <v>2815</v>
      </c>
      <c r="C1130" t="s">
        <v>2816</v>
      </c>
      <c r="D1130">
        <v>-7.02</v>
      </c>
      <c r="E1130">
        <v>1.3</v>
      </c>
      <c r="F1130">
        <v>-13.65</v>
      </c>
      <c r="G1130">
        <v>98</v>
      </c>
      <c r="H1130">
        <v>0</v>
      </c>
      <c r="I1130">
        <v>2</v>
      </c>
      <c r="J1130">
        <v>10</v>
      </c>
      <c r="K1130" t="s">
        <v>1993</v>
      </c>
      <c r="L1130">
        <v>1</v>
      </c>
      <c r="M1130">
        <v>1</v>
      </c>
      <c r="N1130" s="1">
        <f t="shared" si="34"/>
        <v>0</v>
      </c>
      <c r="O1130" s="1">
        <f t="shared" si="35"/>
        <v>1</v>
      </c>
    </row>
    <row r="1131" spans="1:15" x14ac:dyDescent="0.25">
      <c r="A1131" t="s">
        <v>2817</v>
      </c>
      <c r="B1131" t="s">
        <v>2818</v>
      </c>
      <c r="C1131" t="s">
        <v>2819</v>
      </c>
      <c r="D1131">
        <v>-7.37</v>
      </c>
      <c r="E1131">
        <v>1.33</v>
      </c>
      <c r="F1131">
        <v>-14.3</v>
      </c>
      <c r="G1131">
        <v>81.5</v>
      </c>
      <c r="H1131">
        <v>0</v>
      </c>
      <c r="I1131">
        <v>1.5</v>
      </c>
      <c r="J1131">
        <v>0</v>
      </c>
      <c r="K1131" t="s">
        <v>1993</v>
      </c>
      <c r="L1131">
        <v>1</v>
      </c>
      <c r="M1131">
        <v>1</v>
      </c>
      <c r="N1131" s="1">
        <f t="shared" si="34"/>
        <v>0</v>
      </c>
      <c r="O1131" s="1">
        <f t="shared" si="35"/>
        <v>1</v>
      </c>
    </row>
    <row r="1132" spans="1:15" x14ac:dyDescent="0.25">
      <c r="A1132" t="s">
        <v>2820</v>
      </c>
      <c r="B1132" t="s">
        <v>2821</v>
      </c>
      <c r="C1132" t="s">
        <v>2822</v>
      </c>
      <c r="D1132">
        <v>-7.82</v>
      </c>
      <c r="E1132">
        <v>2.06</v>
      </c>
      <c r="F1132">
        <v>-15.14</v>
      </c>
      <c r="G1132">
        <v>0</v>
      </c>
      <c r="H1132">
        <v>0</v>
      </c>
      <c r="I1132">
        <v>32.01</v>
      </c>
      <c r="J1132">
        <v>0</v>
      </c>
      <c r="K1132" t="s">
        <v>1993</v>
      </c>
      <c r="L1132">
        <v>1</v>
      </c>
      <c r="M1132">
        <v>1</v>
      </c>
      <c r="N1132" s="1">
        <f t="shared" si="34"/>
        <v>0</v>
      </c>
      <c r="O1132" s="1">
        <f t="shared" si="35"/>
        <v>1</v>
      </c>
    </row>
    <row r="1133" spans="1:15" x14ac:dyDescent="0.25">
      <c r="A1133" t="s">
        <v>2823</v>
      </c>
      <c r="B1133" t="s">
        <v>2824</v>
      </c>
      <c r="C1133" t="s">
        <v>2822</v>
      </c>
      <c r="D1133">
        <v>-7.82</v>
      </c>
      <c r="E1133">
        <v>2.06</v>
      </c>
      <c r="F1133">
        <v>-15.14</v>
      </c>
      <c r="G1133">
        <v>0</v>
      </c>
      <c r="H1133">
        <v>0</v>
      </c>
      <c r="I1133">
        <v>30</v>
      </c>
      <c r="J1133">
        <v>0</v>
      </c>
      <c r="K1133" t="s">
        <v>1993</v>
      </c>
      <c r="L1133">
        <v>1</v>
      </c>
      <c r="M1133">
        <v>1</v>
      </c>
      <c r="N1133" s="1">
        <f t="shared" si="34"/>
        <v>0</v>
      </c>
      <c r="O1133" s="1">
        <f t="shared" si="35"/>
        <v>1</v>
      </c>
    </row>
    <row r="1134" spans="1:15" x14ac:dyDescent="0.25">
      <c r="A1134" t="s">
        <v>2825</v>
      </c>
      <c r="B1134" t="s">
        <v>2826</v>
      </c>
      <c r="C1134" t="s">
        <v>2827</v>
      </c>
      <c r="D1134">
        <v>-8.68</v>
      </c>
      <c r="E1134">
        <v>1.96</v>
      </c>
      <c r="F1134">
        <v>-16.73</v>
      </c>
      <c r="G1134">
        <v>18</v>
      </c>
      <c r="H1134">
        <v>15</v>
      </c>
      <c r="I1134">
        <v>4</v>
      </c>
      <c r="J1134">
        <v>0</v>
      </c>
      <c r="K1134" t="s">
        <v>1993</v>
      </c>
      <c r="L1134">
        <v>1</v>
      </c>
      <c r="M1134">
        <v>1</v>
      </c>
      <c r="N1134" s="1">
        <f t="shared" si="34"/>
        <v>0</v>
      </c>
      <c r="O1134" s="1">
        <f t="shared" si="35"/>
        <v>1</v>
      </c>
    </row>
    <row r="1135" spans="1:15" x14ac:dyDescent="0.25">
      <c r="A1135" t="s">
        <v>2828</v>
      </c>
      <c r="B1135" t="s">
        <v>2829</v>
      </c>
      <c r="C1135" t="s">
        <v>2830</v>
      </c>
      <c r="D1135">
        <v>-9.2200000000000006</v>
      </c>
      <c r="E1135">
        <v>-1.94</v>
      </c>
      <c r="F1135">
        <v>-17.73</v>
      </c>
      <c r="G1135">
        <v>95.95</v>
      </c>
      <c r="H1135">
        <v>0</v>
      </c>
      <c r="I1135">
        <v>4.05</v>
      </c>
      <c r="J1135">
        <v>26</v>
      </c>
      <c r="K1135" t="s">
        <v>1993</v>
      </c>
      <c r="L1135">
        <v>1</v>
      </c>
      <c r="M1135">
        <v>1</v>
      </c>
      <c r="N1135" s="1">
        <f t="shared" si="34"/>
        <v>0</v>
      </c>
      <c r="O1135" s="1">
        <f t="shared" si="35"/>
        <v>1</v>
      </c>
    </row>
    <row r="1136" spans="1:15" x14ac:dyDescent="0.25">
      <c r="A1136" t="s">
        <v>2831</v>
      </c>
      <c r="B1136" t="s">
        <v>2832</v>
      </c>
      <c r="C1136" t="s">
        <v>2833</v>
      </c>
      <c r="D1136">
        <v>-9.31</v>
      </c>
      <c r="E1136">
        <v>1.34</v>
      </c>
      <c r="F1136">
        <v>-17.88</v>
      </c>
      <c r="G1136">
        <v>99</v>
      </c>
      <c r="H1136">
        <v>0</v>
      </c>
      <c r="I1136">
        <v>1</v>
      </c>
      <c r="J1136">
        <v>60</v>
      </c>
      <c r="K1136" t="s">
        <v>1993</v>
      </c>
      <c r="L1136">
        <v>1</v>
      </c>
      <c r="M1136">
        <v>1</v>
      </c>
      <c r="N1136" s="1">
        <f t="shared" si="34"/>
        <v>0</v>
      </c>
      <c r="O1136" s="1">
        <f t="shared" si="35"/>
        <v>1</v>
      </c>
    </row>
    <row r="1137" spans="1:15" x14ac:dyDescent="0.25">
      <c r="A1137" t="s">
        <v>2834</v>
      </c>
      <c r="B1137" t="s">
        <v>2835</v>
      </c>
      <c r="C1137" t="s">
        <v>2836</v>
      </c>
      <c r="D1137">
        <v>-9.6999999999999993</v>
      </c>
      <c r="E1137">
        <v>-8.5399999999999991</v>
      </c>
      <c r="F1137">
        <v>-18.600000000000001</v>
      </c>
      <c r="G1137">
        <v>5.97</v>
      </c>
      <c r="H1137">
        <v>0</v>
      </c>
      <c r="I1137">
        <v>7.55</v>
      </c>
      <c r="J1137">
        <v>0.7</v>
      </c>
      <c r="K1137" t="s">
        <v>1993</v>
      </c>
      <c r="L1137">
        <v>1</v>
      </c>
      <c r="M1137">
        <v>1</v>
      </c>
      <c r="N1137" s="1">
        <f t="shared" si="34"/>
        <v>0</v>
      </c>
      <c r="O1137" s="1">
        <f t="shared" si="35"/>
        <v>1</v>
      </c>
    </row>
    <row r="1138" spans="1:15" x14ac:dyDescent="0.25">
      <c r="A1138" t="s">
        <v>2837</v>
      </c>
      <c r="B1138" t="s">
        <v>2838</v>
      </c>
      <c r="C1138" t="s">
        <v>2839</v>
      </c>
      <c r="D1138">
        <v>-10.33</v>
      </c>
      <c r="E1138">
        <v>-13.36</v>
      </c>
      <c r="F1138">
        <v>-19.739999999999998</v>
      </c>
      <c r="G1138">
        <v>84</v>
      </c>
      <c r="H1138">
        <v>0</v>
      </c>
      <c r="I1138">
        <v>2</v>
      </c>
      <c r="J1138">
        <v>35</v>
      </c>
      <c r="K1138" t="s">
        <v>1993</v>
      </c>
      <c r="L1138">
        <v>1</v>
      </c>
      <c r="M1138">
        <v>1</v>
      </c>
      <c r="N1138" s="1">
        <f t="shared" si="34"/>
        <v>0</v>
      </c>
      <c r="O1138" s="1">
        <f t="shared" si="35"/>
        <v>1</v>
      </c>
    </row>
    <row r="1139" spans="1:15" x14ac:dyDescent="0.25">
      <c r="A1139" t="s">
        <v>2840</v>
      </c>
      <c r="B1139" t="s">
        <v>2841</v>
      </c>
      <c r="C1139" t="s">
        <v>2842</v>
      </c>
      <c r="D1139">
        <v>-10.97</v>
      </c>
      <c r="E1139">
        <v>0.28000000000000003</v>
      </c>
      <c r="F1139">
        <v>-20.88</v>
      </c>
      <c r="G1139">
        <v>77.680000000000007</v>
      </c>
      <c r="H1139">
        <v>0</v>
      </c>
      <c r="I1139">
        <v>3.38</v>
      </c>
      <c r="J1139">
        <v>89.51</v>
      </c>
      <c r="K1139" t="s">
        <v>1993</v>
      </c>
      <c r="L1139">
        <v>1</v>
      </c>
      <c r="M1139">
        <v>1</v>
      </c>
      <c r="N1139" s="1">
        <f t="shared" si="34"/>
        <v>0</v>
      </c>
      <c r="O1139" s="1">
        <f t="shared" si="35"/>
        <v>1</v>
      </c>
    </row>
    <row r="1140" spans="1:15" x14ac:dyDescent="0.25">
      <c r="A1140" t="s">
        <v>2843</v>
      </c>
      <c r="B1140" t="s">
        <v>2844</v>
      </c>
      <c r="C1140" t="s">
        <v>2845</v>
      </c>
      <c r="D1140">
        <v>-11.24</v>
      </c>
      <c r="E1140">
        <v>1.34</v>
      </c>
      <c r="F1140">
        <v>-21.37</v>
      </c>
      <c r="G1140">
        <v>85.74</v>
      </c>
      <c r="H1140">
        <v>0</v>
      </c>
      <c r="I1140">
        <v>14.24</v>
      </c>
      <c r="J1140">
        <v>14.2</v>
      </c>
      <c r="K1140" t="s">
        <v>1993</v>
      </c>
      <c r="L1140">
        <v>2</v>
      </c>
      <c r="M1140">
        <v>2</v>
      </c>
      <c r="N1140" s="1">
        <f t="shared" si="34"/>
        <v>0</v>
      </c>
      <c r="O1140" s="1">
        <f t="shared" si="35"/>
        <v>1</v>
      </c>
    </row>
    <row r="1141" spans="1:15" x14ac:dyDescent="0.25">
      <c r="A1141" t="s">
        <v>2846</v>
      </c>
      <c r="B1141" t="s">
        <v>2847</v>
      </c>
      <c r="C1141" t="s">
        <v>2848</v>
      </c>
      <c r="D1141">
        <v>-11.88</v>
      </c>
      <c r="E1141">
        <v>-10.130000000000001</v>
      </c>
      <c r="F1141">
        <v>-22.52</v>
      </c>
      <c r="G1141">
        <v>95.59</v>
      </c>
      <c r="H1141">
        <v>0</v>
      </c>
      <c r="I1141">
        <v>1.33</v>
      </c>
      <c r="J1141">
        <v>98.67</v>
      </c>
      <c r="K1141" t="s">
        <v>1993</v>
      </c>
      <c r="L1141">
        <v>2</v>
      </c>
      <c r="M1141">
        <v>2</v>
      </c>
      <c r="N1141" s="1">
        <f t="shared" si="34"/>
        <v>0</v>
      </c>
      <c r="O1141" s="1">
        <f t="shared" si="35"/>
        <v>1</v>
      </c>
    </row>
    <row r="1142" spans="1:15" x14ac:dyDescent="0.25">
      <c r="A1142" t="s">
        <v>2849</v>
      </c>
      <c r="B1142" t="s">
        <v>2850</v>
      </c>
      <c r="C1142" t="s">
        <v>2851</v>
      </c>
      <c r="D1142">
        <v>-13.83</v>
      </c>
      <c r="E1142">
        <v>8.01</v>
      </c>
      <c r="F1142">
        <v>-25.93</v>
      </c>
      <c r="G1142">
        <v>59</v>
      </c>
      <c r="H1142">
        <v>11</v>
      </c>
      <c r="I1142">
        <v>10</v>
      </c>
      <c r="J1142">
        <v>0</v>
      </c>
      <c r="K1142" t="s">
        <v>1993</v>
      </c>
      <c r="L1142">
        <v>2</v>
      </c>
      <c r="M1142">
        <v>2</v>
      </c>
      <c r="N1142" s="1">
        <f t="shared" si="34"/>
        <v>0</v>
      </c>
      <c r="O1142" s="1">
        <f t="shared" si="35"/>
        <v>1</v>
      </c>
    </row>
    <row r="1143" spans="1:15" x14ac:dyDescent="0.25">
      <c r="A1143" t="s">
        <v>2852</v>
      </c>
      <c r="B1143" t="s">
        <v>2853</v>
      </c>
      <c r="C1143" t="s">
        <v>2854</v>
      </c>
      <c r="D1143">
        <v>-14.64</v>
      </c>
      <c r="E1143">
        <v>-7.49</v>
      </c>
      <c r="F1143">
        <v>-27.32</v>
      </c>
      <c r="G1143">
        <v>98</v>
      </c>
      <c r="H1143">
        <v>0</v>
      </c>
      <c r="I1143">
        <v>2</v>
      </c>
      <c r="J1143">
        <v>98</v>
      </c>
      <c r="K1143" t="s">
        <v>1993</v>
      </c>
      <c r="L1143">
        <v>2</v>
      </c>
      <c r="M1143">
        <v>2</v>
      </c>
      <c r="N1143" s="1">
        <f t="shared" si="34"/>
        <v>0</v>
      </c>
      <c r="O1143" s="1">
        <f t="shared" si="35"/>
        <v>1</v>
      </c>
    </row>
  </sheetData>
  <phoneticPr fontId="3" type="noConversion"/>
  <conditionalFormatting sqref="N2:N152">
    <cfRule type="dataBar" priority="2">
      <dataBar>
        <cfvo type="min"/>
        <cfvo type="max"/>
        <color rgb="FFFF555A"/>
      </dataBar>
    </cfRule>
    <cfRule type="colorScale" priority="3">
      <colorScale>
        <cfvo type="min"/>
        <cfvo type="percentile" val="50"/>
        <cfvo type="max"/>
        <color rgb="FF63BE7B"/>
        <color rgb="FFFFEB84"/>
        <color rgb="FFF8696B"/>
      </colorScale>
    </cfRule>
    <cfRule type="dataBar" priority="32767">
      <dataBar>
        <cfvo type="min"/>
        <cfvo type="max"/>
        <color rgb="FF000000"/>
      </dataBar>
      <extLst>
        <ext xmlns:x14="http://schemas.microsoft.com/office/spreadsheetml/2009/9/main" uri="{B025F937-C7B1-47D3-B67F-A62EFF666E3E}">
          <x14:id>{00000000-000E-0000-0000-0000FF7F0000}</x14:id>
        </ext>
      </extLst>
    </cfRule>
  </conditionalFormatting>
  <conditionalFormatting sqref="O2:O152">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0000000-000E-0000-0000-0000FF7F0000}">
            <x14:dataBar minLength="0" maxLength="100" negativeBarColorSameAsPositive="1" axisPosition="none">
              <x14:cfvo type="min"/>
              <x14:cfvo type="max"/>
            </x14:dataBar>
          </x14:cfRule>
          <xm:sqref>N2:N152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sheetViews>
  <sheetFormatPr defaultColWidth="10" defaultRowHeight="14.4" x14ac:dyDescent="0.25"/>
  <cols>
    <col min="1" max="1" width="14.77734375" customWidth="1"/>
    <col min="2" max="2" width="8.77734375" customWidth="1"/>
    <col min="3" max="3" width="38.77734375" customWidth="1"/>
    <col min="4" max="5" width="12.77734375" customWidth="1"/>
    <col min="6" max="9" width="14.77734375" customWidth="1"/>
  </cols>
  <sheetData>
    <row r="1" spans="1:9" x14ac:dyDescent="0.25">
      <c r="A1" s="5" t="s">
        <v>10</v>
      </c>
      <c r="B1" s="5" t="s">
        <v>2855</v>
      </c>
      <c r="C1" s="5" t="s">
        <v>2856</v>
      </c>
      <c r="D1" s="5" t="s">
        <v>11</v>
      </c>
      <c r="E1" s="5" t="s">
        <v>2857</v>
      </c>
      <c r="F1" s="5" t="s">
        <v>2858</v>
      </c>
      <c r="G1" s="5" t="s">
        <v>2859</v>
      </c>
      <c r="H1" s="5" t="s">
        <v>2860</v>
      </c>
      <c r="I1" s="5" t="s">
        <v>2861</v>
      </c>
    </row>
    <row r="2" spans="1:9" x14ac:dyDescent="0.25">
      <c r="A2" t="s">
        <v>344</v>
      </c>
      <c r="B2">
        <v>549</v>
      </c>
      <c r="C2" t="s">
        <v>2862</v>
      </c>
      <c r="D2">
        <v>503</v>
      </c>
      <c r="E2">
        <v>1.72</v>
      </c>
      <c r="F2">
        <v>55.5</v>
      </c>
      <c r="G2">
        <v>58.6</v>
      </c>
      <c r="H2">
        <v>100</v>
      </c>
      <c r="I2">
        <v>2.2000000000000002</v>
      </c>
    </row>
    <row r="3" spans="1:9" x14ac:dyDescent="0.25">
      <c r="A3" t="s">
        <v>18</v>
      </c>
      <c r="B3">
        <v>122</v>
      </c>
      <c r="C3" t="s">
        <v>2863</v>
      </c>
      <c r="D3">
        <v>269</v>
      </c>
      <c r="E3">
        <v>9.15</v>
      </c>
      <c r="F3">
        <v>50.9</v>
      </c>
      <c r="G3">
        <v>47.6</v>
      </c>
      <c r="H3">
        <v>100</v>
      </c>
      <c r="I3">
        <v>3.3</v>
      </c>
    </row>
    <row r="4" spans="1:9" x14ac:dyDescent="0.25">
      <c r="A4" t="s">
        <v>1646</v>
      </c>
      <c r="B4">
        <v>129</v>
      </c>
      <c r="C4" t="s">
        <v>2864</v>
      </c>
      <c r="D4">
        <v>210</v>
      </c>
      <c r="E4">
        <v>15.83</v>
      </c>
      <c r="F4">
        <v>52.8</v>
      </c>
      <c r="G4">
        <v>51.4</v>
      </c>
      <c r="H4">
        <v>100</v>
      </c>
      <c r="I4">
        <v>1</v>
      </c>
    </row>
    <row r="5" spans="1:9" x14ac:dyDescent="0.25">
      <c r="A5" t="s">
        <v>1993</v>
      </c>
      <c r="B5">
        <v>342</v>
      </c>
      <c r="C5" t="s">
        <v>2865</v>
      </c>
      <c r="D5">
        <v>1</v>
      </c>
      <c r="E5">
        <v>4.29</v>
      </c>
      <c r="F5">
        <v>100</v>
      </c>
      <c r="G5">
        <v>100</v>
      </c>
      <c r="H5">
        <v>100</v>
      </c>
      <c r="I5">
        <v>100</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workbookViewId="0">
      <selection activeCell="A42" sqref="A42"/>
    </sheetView>
  </sheetViews>
  <sheetFormatPr defaultColWidth="10" defaultRowHeight="14.4" x14ac:dyDescent="0.25"/>
  <cols>
    <col min="1" max="1" width="80.77734375" customWidth="1"/>
    <col min="2" max="4" width="30.77734375" customWidth="1"/>
  </cols>
  <sheetData>
    <row r="1" spans="1:4" x14ac:dyDescent="0.25">
      <c r="A1" s="5" t="s">
        <v>2866</v>
      </c>
      <c r="B1" s="5"/>
      <c r="C1" s="5"/>
      <c r="D1" s="5"/>
    </row>
    <row r="3" spans="1:4" x14ac:dyDescent="0.25">
      <c r="A3" t="s">
        <v>2867</v>
      </c>
    </row>
    <row r="4" spans="1:4" x14ac:dyDescent="0.25">
      <c r="A4" t="s">
        <v>2868</v>
      </c>
    </row>
    <row r="5" spans="1:4" x14ac:dyDescent="0.25">
      <c r="A5" t="s">
        <v>2869</v>
      </c>
      <c r="B5" t="s">
        <v>2870</v>
      </c>
      <c r="C5" t="s">
        <v>2871</v>
      </c>
    </row>
    <row r="6" spans="1:4" x14ac:dyDescent="0.25">
      <c r="A6" t="s">
        <v>2872</v>
      </c>
      <c r="B6" t="s">
        <v>2873</v>
      </c>
      <c r="C6" t="s">
        <v>2874</v>
      </c>
    </row>
    <row r="7" spans="1:4" x14ac:dyDescent="0.25">
      <c r="A7" t="s">
        <v>2875</v>
      </c>
      <c r="B7" t="s">
        <v>2876</v>
      </c>
      <c r="C7" t="s">
        <v>2877</v>
      </c>
    </row>
    <row r="8" spans="1:4" x14ac:dyDescent="0.25">
      <c r="A8" t="s">
        <v>2878</v>
      </c>
      <c r="B8" t="s">
        <v>2879</v>
      </c>
      <c r="C8" t="s">
        <v>2880</v>
      </c>
    </row>
    <row r="9" spans="1:4" x14ac:dyDescent="0.25">
      <c r="A9" t="s">
        <v>18</v>
      </c>
      <c r="B9" t="s">
        <v>2863</v>
      </c>
      <c r="C9" t="s">
        <v>2881</v>
      </c>
    </row>
    <row r="10" spans="1:4" x14ac:dyDescent="0.25">
      <c r="A10" t="s">
        <v>2882</v>
      </c>
      <c r="B10" t="s">
        <v>2864</v>
      </c>
      <c r="C10" t="s">
        <v>2883</v>
      </c>
    </row>
    <row r="12" spans="1:4" x14ac:dyDescent="0.25">
      <c r="A12" t="s">
        <v>2884</v>
      </c>
    </row>
    <row r="13" spans="1:4" x14ac:dyDescent="0.25">
      <c r="A13" t="s">
        <v>2885</v>
      </c>
    </row>
    <row r="14" spans="1:4" x14ac:dyDescent="0.25">
      <c r="A14" t="s">
        <v>2886</v>
      </c>
    </row>
    <row r="15" spans="1:4" x14ac:dyDescent="0.25">
      <c r="A15" t="s">
        <v>2887</v>
      </c>
    </row>
    <row r="16" spans="1:4" x14ac:dyDescent="0.25">
      <c r="A16" t="s">
        <v>2888</v>
      </c>
    </row>
    <row r="17" spans="1:1" x14ac:dyDescent="0.25">
      <c r="A17" t="s">
        <v>2889</v>
      </c>
    </row>
    <row r="19" spans="1:1" x14ac:dyDescent="0.25">
      <c r="A19" t="s">
        <v>2890</v>
      </c>
    </row>
    <row r="20" spans="1:1" x14ac:dyDescent="0.25">
      <c r="A20" t="s">
        <v>2891</v>
      </c>
    </row>
    <row r="21" spans="1:1" x14ac:dyDescent="0.25">
      <c r="A21" t="s">
        <v>2892</v>
      </c>
    </row>
    <row r="22" spans="1:1" x14ac:dyDescent="0.25">
      <c r="A22" t="s">
        <v>2893</v>
      </c>
    </row>
    <row r="23" spans="1:1" x14ac:dyDescent="0.25">
      <c r="A23" t="s">
        <v>2894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投顾组合排名</vt:lpstr>
      <vt:lpstr>分类汇总</vt:lpstr>
      <vt:lpstr>计算说明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PLR-AL30</dc:creator>
  <cp:lastModifiedBy>410888090@qq.com</cp:lastModifiedBy>
  <dcterms:created xsi:type="dcterms:W3CDTF">2026-07-01T01:56:19Z</dcterms:created>
  <dcterms:modified xsi:type="dcterms:W3CDTF">2026-07-03T01:49:26Z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3287b8961fe04a90b1e5a600935fa580_23</vt:lpwstr>
  </property>
</Properties>
</file>